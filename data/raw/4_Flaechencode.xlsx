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5D98A7C6-54A6-4B75-B574-E4438772A4B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121" i="1" l="1"/>
  <c r="AO121" i="1"/>
  <c r="K121" i="1"/>
  <c r="J121" i="1"/>
  <c r="I121" i="1"/>
  <c r="H121" i="1"/>
  <c r="A121" i="1"/>
  <c r="AS120" i="1"/>
  <c r="AO120" i="1"/>
  <c r="K120" i="1"/>
  <c r="J120" i="1"/>
  <c r="I120" i="1"/>
  <c r="H120" i="1"/>
  <c r="A120" i="1"/>
  <c r="AS119" i="1"/>
  <c r="AO119" i="1"/>
  <c r="AL119" i="1"/>
  <c r="AJ119" i="1"/>
  <c r="K119" i="1"/>
  <c r="J119" i="1"/>
  <c r="I119" i="1"/>
  <c r="H119" i="1"/>
  <c r="A119" i="1"/>
  <c r="AS118" i="1"/>
  <c r="AO118" i="1"/>
  <c r="K118" i="1"/>
  <c r="J118" i="1"/>
  <c r="I118" i="1"/>
  <c r="H118" i="1"/>
  <c r="A118" i="1"/>
  <c r="AS117" i="1"/>
  <c r="AO117" i="1"/>
  <c r="K117" i="1"/>
  <c r="J117" i="1"/>
  <c r="I117" i="1"/>
  <c r="H117" i="1"/>
  <c r="A117" i="1"/>
  <c r="AS116" i="1"/>
  <c r="AO116" i="1"/>
  <c r="AL116" i="1"/>
  <c r="K116" i="1"/>
  <c r="J116" i="1"/>
  <c r="I116" i="1"/>
  <c r="H116" i="1"/>
  <c r="A116" i="1"/>
  <c r="AS115" i="1"/>
  <c r="AO115" i="1"/>
  <c r="K115" i="1"/>
  <c r="J115" i="1"/>
  <c r="I115" i="1"/>
  <c r="H115" i="1"/>
  <c r="A115" i="1"/>
  <c r="AS114" i="1"/>
  <c r="AO114" i="1"/>
  <c r="K114" i="1"/>
  <c r="J114" i="1"/>
  <c r="I114" i="1"/>
  <c r="H114" i="1"/>
  <c r="A114" i="1"/>
  <c r="AS113" i="1"/>
  <c r="AO113" i="1"/>
  <c r="K113" i="1"/>
  <c r="J113" i="1"/>
  <c r="I113" i="1"/>
  <c r="H113" i="1"/>
  <c r="A113" i="1"/>
  <c r="BJ112" i="1"/>
  <c r="AH112" i="1"/>
  <c r="AC112" i="1"/>
  <c r="S112" i="1"/>
  <c r="A112" i="1"/>
  <c r="BR111" i="1"/>
  <c r="BQ111" i="1"/>
  <c r="BF111" i="1"/>
  <c r="AP111" i="1"/>
  <c r="AQ111" i="1" s="1"/>
  <c r="AL111" i="1"/>
  <c r="AL121" i="1" s="1"/>
  <c r="AJ111" i="1"/>
  <c r="AJ121" i="1" s="1"/>
  <c r="L111" i="1"/>
  <c r="A111" i="1"/>
  <c r="BR110" i="1"/>
  <c r="BQ110" i="1"/>
  <c r="BF110" i="1"/>
  <c r="AP110" i="1"/>
  <c r="AQ110" i="1" s="1"/>
  <c r="AL110" i="1"/>
  <c r="AL120" i="1" s="1"/>
  <c r="AJ110" i="1"/>
  <c r="AJ120" i="1" s="1"/>
  <c r="L110" i="1"/>
  <c r="A110" i="1"/>
  <c r="BR109" i="1"/>
  <c r="BR119" i="1" s="1"/>
  <c r="BQ109" i="1"/>
  <c r="BF109" i="1"/>
  <c r="AP109" i="1"/>
  <c r="L109" i="1"/>
  <c r="A109" i="1"/>
  <c r="BR108" i="1"/>
  <c r="BQ108" i="1"/>
  <c r="BF108" i="1"/>
  <c r="AP108" i="1"/>
  <c r="AQ108" i="1" s="1"/>
  <c r="AL108" i="1"/>
  <c r="AL118" i="1" s="1"/>
  <c r="AJ108" i="1"/>
  <c r="L108" i="1"/>
  <c r="A108" i="1"/>
  <c r="BR107" i="1"/>
  <c r="BQ107" i="1"/>
  <c r="BF107" i="1"/>
  <c r="AP107" i="1"/>
  <c r="AQ107" i="1" s="1"/>
  <c r="AL107" i="1"/>
  <c r="AL117" i="1" s="1"/>
  <c r="AJ107" i="1"/>
  <c r="V107" i="1"/>
  <c r="L107" i="1"/>
  <c r="A107" i="1"/>
  <c r="BR106" i="1"/>
  <c r="BR116" i="1" s="1"/>
  <c r="BQ106" i="1"/>
  <c r="BF106" i="1"/>
  <c r="AP106" i="1"/>
  <c r="AJ106" i="1"/>
  <c r="L106" i="1"/>
  <c r="A106" i="1"/>
  <c r="BY105" i="1"/>
  <c r="BR105" i="1"/>
  <c r="BQ105" i="1"/>
  <c r="BF105" i="1"/>
  <c r="AP105" i="1"/>
  <c r="AQ105" i="1" s="1"/>
  <c r="AL105" i="1"/>
  <c r="AJ105" i="1"/>
  <c r="L105" i="1"/>
  <c r="A105" i="1"/>
  <c r="BY104" i="1"/>
  <c r="BR104" i="1"/>
  <c r="BQ104" i="1"/>
  <c r="BF104" i="1"/>
  <c r="AP104" i="1"/>
  <c r="AQ104" i="1" s="1"/>
  <c r="AL104" i="1"/>
  <c r="AJ104" i="1"/>
  <c r="L104" i="1"/>
  <c r="A104" i="1"/>
  <c r="BY103" i="1"/>
  <c r="BY113" i="1" s="1"/>
  <c r="BR103" i="1"/>
  <c r="BR113" i="1" s="1"/>
  <c r="BQ103" i="1"/>
  <c r="BQ113" i="1" s="1"/>
  <c r="BF103" i="1"/>
  <c r="AP103" i="1"/>
  <c r="AL103" i="1"/>
  <c r="AJ103" i="1"/>
  <c r="L103" i="1"/>
  <c r="A103" i="1"/>
  <c r="S102" i="1"/>
  <c r="A102" i="1"/>
  <c r="AS101" i="1"/>
  <c r="AO101" i="1"/>
  <c r="K101" i="1"/>
  <c r="J101" i="1"/>
  <c r="I101" i="1"/>
  <c r="H101" i="1"/>
  <c r="A101" i="1"/>
  <c r="AS100" i="1"/>
  <c r="AO100" i="1"/>
  <c r="K100" i="1"/>
  <c r="J100" i="1"/>
  <c r="I100" i="1"/>
  <c r="H100" i="1"/>
  <c r="A100" i="1"/>
  <c r="AS99" i="1"/>
  <c r="AO99" i="1"/>
  <c r="K99" i="1"/>
  <c r="J99" i="1"/>
  <c r="I99" i="1"/>
  <c r="H99" i="1"/>
  <c r="A99" i="1"/>
  <c r="AS98" i="1"/>
  <c r="AO98" i="1"/>
  <c r="K98" i="1"/>
  <c r="J98" i="1"/>
  <c r="I98" i="1"/>
  <c r="H98" i="1"/>
  <c r="A98" i="1"/>
  <c r="AS97" i="1"/>
  <c r="AO97" i="1"/>
  <c r="K97" i="1"/>
  <c r="J97" i="1"/>
  <c r="I97" i="1"/>
  <c r="H97" i="1"/>
  <c r="A97" i="1"/>
  <c r="AS96" i="1"/>
  <c r="AO96" i="1"/>
  <c r="K96" i="1"/>
  <c r="J96" i="1"/>
  <c r="I96" i="1"/>
  <c r="H96" i="1"/>
  <c r="A96" i="1"/>
  <c r="AS95" i="1"/>
  <c r="AO95" i="1"/>
  <c r="AL95" i="1"/>
  <c r="K95" i="1"/>
  <c r="J95" i="1"/>
  <c r="I95" i="1"/>
  <c r="H95" i="1"/>
  <c r="A95" i="1"/>
  <c r="AS94" i="1"/>
  <c r="AO94" i="1"/>
  <c r="AL94" i="1"/>
  <c r="K94" i="1"/>
  <c r="J94" i="1"/>
  <c r="I94" i="1"/>
  <c r="H94" i="1"/>
  <c r="A94" i="1"/>
  <c r="AS93" i="1"/>
  <c r="AO93" i="1"/>
  <c r="AL93" i="1"/>
  <c r="K93" i="1"/>
  <c r="J93" i="1"/>
  <c r="I93" i="1"/>
  <c r="H93" i="1"/>
  <c r="A93" i="1"/>
  <c r="BJ92" i="1"/>
  <c r="AH92" i="1"/>
  <c r="AC92" i="1"/>
  <c r="S92" i="1"/>
  <c r="A92" i="1"/>
  <c r="BY91" i="1"/>
  <c r="BR91" i="1"/>
  <c r="BQ91" i="1"/>
  <c r="BF91" i="1"/>
  <c r="AP91" i="1"/>
  <c r="AQ91" i="1" s="1"/>
  <c r="AL91" i="1"/>
  <c r="AJ91" i="1"/>
  <c r="AI91" i="1"/>
  <c r="L91" i="1"/>
  <c r="A91" i="1"/>
  <c r="BY90" i="1"/>
  <c r="BR90" i="1"/>
  <c r="BQ90" i="1"/>
  <c r="BF90" i="1"/>
  <c r="AP90" i="1"/>
  <c r="AQ90" i="1" s="1"/>
  <c r="AL90" i="1"/>
  <c r="AJ90" i="1"/>
  <c r="AI90" i="1"/>
  <c r="L90" i="1"/>
  <c r="A90" i="1"/>
  <c r="BY89" i="1"/>
  <c r="BY99" i="1" s="1"/>
  <c r="BR89" i="1"/>
  <c r="BR99" i="1" s="1"/>
  <c r="BQ89" i="1"/>
  <c r="BQ99" i="1" s="1"/>
  <c r="BF89" i="1"/>
  <c r="AP89" i="1"/>
  <c r="AL89" i="1"/>
  <c r="AJ89" i="1"/>
  <c r="AI89" i="1"/>
  <c r="L89" i="1"/>
  <c r="A89" i="1"/>
  <c r="BY88" i="1"/>
  <c r="BR88" i="1"/>
  <c r="BQ88" i="1"/>
  <c r="BF88" i="1"/>
  <c r="AP88" i="1"/>
  <c r="AQ88" i="1" s="1"/>
  <c r="AL88" i="1"/>
  <c r="AJ88" i="1"/>
  <c r="AI88" i="1"/>
  <c r="L88" i="1"/>
  <c r="A88" i="1"/>
  <c r="BY87" i="1"/>
  <c r="BR87" i="1"/>
  <c r="BQ87" i="1"/>
  <c r="BF87" i="1"/>
  <c r="AP87" i="1"/>
  <c r="AQ87" i="1" s="1"/>
  <c r="AL87" i="1"/>
  <c r="AJ87" i="1"/>
  <c r="AI87" i="1"/>
  <c r="V87" i="1"/>
  <c r="L87" i="1"/>
  <c r="A87" i="1"/>
  <c r="BY86" i="1"/>
  <c r="BY96" i="1" s="1"/>
  <c r="BR86" i="1"/>
  <c r="BR96" i="1" s="1"/>
  <c r="BQ86" i="1"/>
  <c r="BQ96" i="1" s="1"/>
  <c r="BF86" i="1"/>
  <c r="AP86" i="1"/>
  <c r="AL86" i="1"/>
  <c r="AJ86" i="1"/>
  <c r="AI86" i="1"/>
  <c r="L86" i="1"/>
  <c r="A86" i="1"/>
  <c r="BY85" i="1"/>
  <c r="BR85" i="1"/>
  <c r="BQ85" i="1"/>
  <c r="BF85" i="1"/>
  <c r="AP85" i="1"/>
  <c r="AQ85" i="1" s="1"/>
  <c r="AJ85" i="1"/>
  <c r="AI85" i="1"/>
  <c r="L85" i="1"/>
  <c r="A85" i="1"/>
  <c r="BY84" i="1"/>
  <c r="BR84" i="1"/>
  <c r="BQ84" i="1"/>
  <c r="BF84" i="1"/>
  <c r="AP84" i="1"/>
  <c r="AQ84" i="1" s="1"/>
  <c r="AJ84" i="1"/>
  <c r="AI84" i="1"/>
  <c r="L84" i="1"/>
  <c r="A84" i="1"/>
  <c r="BY83" i="1"/>
  <c r="BY93" i="1" s="1"/>
  <c r="BR83" i="1"/>
  <c r="BR93" i="1" s="1"/>
  <c r="BQ83" i="1"/>
  <c r="BQ93" i="1" s="1"/>
  <c r="BF83" i="1"/>
  <c r="AP83" i="1"/>
  <c r="AJ83" i="1"/>
  <c r="AI83" i="1"/>
  <c r="L83" i="1"/>
  <c r="A83" i="1"/>
  <c r="S82" i="1"/>
  <c r="A82" i="1"/>
  <c r="AS81" i="1"/>
  <c r="AO81" i="1"/>
  <c r="K81" i="1"/>
  <c r="J81" i="1"/>
  <c r="I81" i="1"/>
  <c r="H81" i="1"/>
  <c r="A81" i="1"/>
  <c r="AS80" i="1"/>
  <c r="AO80" i="1"/>
  <c r="K80" i="1"/>
  <c r="J80" i="1"/>
  <c r="I80" i="1"/>
  <c r="H80" i="1"/>
  <c r="A80" i="1"/>
  <c r="AS79" i="1"/>
  <c r="AO79" i="1"/>
  <c r="K79" i="1"/>
  <c r="J79" i="1"/>
  <c r="I79" i="1"/>
  <c r="H79" i="1"/>
  <c r="A79" i="1"/>
  <c r="AS78" i="1"/>
  <c r="AO78" i="1"/>
  <c r="K78" i="1"/>
  <c r="J78" i="1"/>
  <c r="I78" i="1"/>
  <c r="H78" i="1"/>
  <c r="A78" i="1"/>
  <c r="AS77" i="1"/>
  <c r="AO77" i="1"/>
  <c r="K77" i="1"/>
  <c r="J77" i="1"/>
  <c r="I77" i="1"/>
  <c r="H77" i="1"/>
  <c r="A77" i="1"/>
  <c r="AS76" i="1"/>
  <c r="AO76" i="1"/>
  <c r="K76" i="1"/>
  <c r="J76" i="1"/>
  <c r="I76" i="1"/>
  <c r="H76" i="1"/>
  <c r="A76" i="1"/>
  <c r="AS75" i="1"/>
  <c r="AO75" i="1"/>
  <c r="K75" i="1"/>
  <c r="J75" i="1"/>
  <c r="I75" i="1"/>
  <c r="H75" i="1"/>
  <c r="A75" i="1"/>
  <c r="AS74" i="1"/>
  <c r="AO74" i="1"/>
  <c r="K74" i="1"/>
  <c r="J74" i="1"/>
  <c r="I74" i="1"/>
  <c r="H74" i="1"/>
  <c r="A74" i="1"/>
  <c r="AS73" i="1"/>
  <c r="AO73" i="1"/>
  <c r="K73" i="1"/>
  <c r="J73" i="1"/>
  <c r="I73" i="1"/>
  <c r="H73" i="1"/>
  <c r="A73" i="1"/>
  <c r="BN72" i="1"/>
  <c r="BJ72" i="1"/>
  <c r="AH72" i="1"/>
  <c r="AC72" i="1"/>
  <c r="S72" i="1"/>
  <c r="A72" i="1"/>
  <c r="BR71" i="1"/>
  <c r="BQ71" i="1"/>
  <c r="BF71" i="1"/>
  <c r="AP71" i="1"/>
  <c r="AQ71" i="1" s="1"/>
  <c r="AL71" i="1"/>
  <c r="AJ71" i="1"/>
  <c r="L71" i="1"/>
  <c r="A71" i="1"/>
  <c r="BR70" i="1"/>
  <c r="BQ70" i="1"/>
  <c r="BF70" i="1"/>
  <c r="AP70" i="1"/>
  <c r="AQ70" i="1" s="1"/>
  <c r="AL70" i="1"/>
  <c r="AJ70" i="1"/>
  <c r="L70" i="1"/>
  <c r="A70" i="1"/>
  <c r="BR69" i="1"/>
  <c r="BR79" i="1" s="1"/>
  <c r="BQ69" i="1"/>
  <c r="BF69" i="1"/>
  <c r="AP69" i="1"/>
  <c r="AL69" i="1"/>
  <c r="AJ69" i="1"/>
  <c r="L69" i="1"/>
  <c r="A69" i="1"/>
  <c r="BY68" i="1"/>
  <c r="BR68" i="1"/>
  <c r="BQ68" i="1"/>
  <c r="BF68" i="1"/>
  <c r="AP68" i="1"/>
  <c r="AQ68" i="1" s="1"/>
  <c r="AL68" i="1"/>
  <c r="AJ68" i="1"/>
  <c r="L68" i="1"/>
  <c r="A68" i="1"/>
  <c r="BY67" i="1"/>
  <c r="BR67" i="1"/>
  <c r="BQ67" i="1"/>
  <c r="BF67" i="1"/>
  <c r="AP67" i="1"/>
  <c r="AQ67" i="1" s="1"/>
  <c r="AL67" i="1"/>
  <c r="AJ67" i="1"/>
  <c r="L67" i="1"/>
  <c r="A67" i="1"/>
  <c r="BY66" i="1"/>
  <c r="BY76" i="1" s="1"/>
  <c r="BR66" i="1"/>
  <c r="BR76" i="1" s="1"/>
  <c r="BQ66" i="1"/>
  <c r="BQ76" i="1" s="1"/>
  <c r="BF66" i="1"/>
  <c r="AP66" i="1"/>
  <c r="AL66" i="1"/>
  <c r="AJ66" i="1"/>
  <c r="L66" i="1"/>
  <c r="A66" i="1"/>
  <c r="BY65" i="1"/>
  <c r="BR65" i="1"/>
  <c r="BQ65" i="1"/>
  <c r="BF65" i="1"/>
  <c r="AP65" i="1"/>
  <c r="AQ65" i="1" s="1"/>
  <c r="AL65" i="1"/>
  <c r="AJ65" i="1"/>
  <c r="L65" i="1"/>
  <c r="A65" i="1"/>
  <c r="BY64" i="1"/>
  <c r="BR64" i="1"/>
  <c r="BQ64" i="1"/>
  <c r="BF64" i="1"/>
  <c r="AP64" i="1"/>
  <c r="AQ64" i="1" s="1"/>
  <c r="AL64" i="1"/>
  <c r="AJ64" i="1"/>
  <c r="L64" i="1"/>
  <c r="A64" i="1"/>
  <c r="BY63" i="1"/>
  <c r="BY73" i="1" s="1"/>
  <c r="BR63" i="1"/>
  <c r="BR73" i="1" s="1"/>
  <c r="BQ63" i="1"/>
  <c r="BQ73" i="1" s="1"/>
  <c r="BF63" i="1"/>
  <c r="AP63" i="1"/>
  <c r="AL63" i="1"/>
  <c r="AJ63" i="1"/>
  <c r="L63" i="1"/>
  <c r="A63" i="1"/>
  <c r="AH62" i="1"/>
  <c r="S62" i="1"/>
  <c r="A62" i="1"/>
  <c r="AS61" i="1"/>
  <c r="AO61" i="1"/>
  <c r="K61" i="1"/>
  <c r="J61" i="1"/>
  <c r="I61" i="1"/>
  <c r="H61" i="1"/>
  <c r="A61" i="1"/>
  <c r="AS60" i="1"/>
  <c r="AO60" i="1"/>
  <c r="K60" i="1"/>
  <c r="J60" i="1"/>
  <c r="I60" i="1"/>
  <c r="H60" i="1"/>
  <c r="A60" i="1"/>
  <c r="AS59" i="1"/>
  <c r="AO59" i="1"/>
  <c r="K59" i="1"/>
  <c r="J59" i="1"/>
  <c r="I59" i="1"/>
  <c r="H59" i="1"/>
  <c r="A59" i="1"/>
  <c r="AS58" i="1"/>
  <c r="AO58" i="1"/>
  <c r="L58" i="1"/>
  <c r="K58" i="1"/>
  <c r="J58" i="1"/>
  <c r="I58" i="1"/>
  <c r="H58" i="1"/>
  <c r="A58" i="1"/>
  <c r="AS57" i="1"/>
  <c r="AO57" i="1"/>
  <c r="L57" i="1"/>
  <c r="K57" i="1"/>
  <c r="J57" i="1"/>
  <c r="I57" i="1"/>
  <c r="H57" i="1"/>
  <c r="A57" i="1"/>
  <c r="AS56" i="1"/>
  <c r="AO56" i="1"/>
  <c r="L56" i="1"/>
  <c r="K56" i="1"/>
  <c r="J56" i="1"/>
  <c r="I56" i="1"/>
  <c r="H56" i="1"/>
  <c r="A56" i="1"/>
  <c r="AS55" i="1"/>
  <c r="AO55" i="1"/>
  <c r="K55" i="1"/>
  <c r="J55" i="1"/>
  <c r="I55" i="1"/>
  <c r="H55" i="1"/>
  <c r="A55" i="1"/>
  <c r="AS54" i="1"/>
  <c r="AO54" i="1"/>
  <c r="K54" i="1"/>
  <c r="J54" i="1"/>
  <c r="I54" i="1"/>
  <c r="H54" i="1"/>
  <c r="A54" i="1"/>
  <c r="AS53" i="1"/>
  <c r="AO53" i="1"/>
  <c r="K53" i="1"/>
  <c r="J53" i="1"/>
  <c r="I53" i="1"/>
  <c r="H53" i="1"/>
  <c r="A53" i="1"/>
  <c r="BN52" i="1"/>
  <c r="BJ52" i="1"/>
  <c r="AH52" i="1"/>
  <c r="AD52" i="1"/>
  <c r="AC52" i="1"/>
  <c r="S52" i="1"/>
  <c r="A52" i="1"/>
  <c r="BY51" i="1"/>
  <c r="BY61" i="1" s="1"/>
  <c r="BR51" i="1"/>
  <c r="BQ51" i="1"/>
  <c r="BF51" i="1"/>
  <c r="AP51" i="1"/>
  <c r="AQ51" i="1" s="1"/>
  <c r="AL51" i="1"/>
  <c r="AJ51" i="1"/>
  <c r="AI51" i="1"/>
  <c r="L51" i="1"/>
  <c r="A51" i="1"/>
  <c r="BY50" i="1"/>
  <c r="BY60" i="1" s="1"/>
  <c r="BR50" i="1"/>
  <c r="BQ50" i="1"/>
  <c r="BF50" i="1"/>
  <c r="AP50" i="1"/>
  <c r="AQ50" i="1" s="1"/>
  <c r="AL50" i="1"/>
  <c r="AJ50" i="1"/>
  <c r="AI50" i="1"/>
  <c r="L50" i="1"/>
  <c r="A50" i="1"/>
  <c r="BY49" i="1"/>
  <c r="BY59" i="1" s="1"/>
  <c r="BR49" i="1"/>
  <c r="BR59" i="1" s="1"/>
  <c r="BQ49" i="1"/>
  <c r="BQ59" i="1" s="1"/>
  <c r="BF49" i="1"/>
  <c r="AP49" i="1"/>
  <c r="AL49" i="1"/>
  <c r="AJ49" i="1"/>
  <c r="AI49" i="1"/>
  <c r="L49" i="1"/>
  <c r="A49" i="1"/>
  <c r="BY48" i="1"/>
  <c r="BY58" i="1" s="1"/>
  <c r="BR48" i="1"/>
  <c r="BQ48" i="1"/>
  <c r="BF48" i="1"/>
  <c r="AP48" i="1"/>
  <c r="AQ48" i="1" s="1"/>
  <c r="AL48" i="1"/>
  <c r="AJ48" i="1"/>
  <c r="AI48" i="1"/>
  <c r="AH48" i="1"/>
  <c r="AD48" i="1"/>
  <c r="Q48" i="1"/>
  <c r="A48" i="1"/>
  <c r="BY47" i="1"/>
  <c r="BY57" i="1" s="1"/>
  <c r="BR47" i="1"/>
  <c r="BQ47" i="1"/>
  <c r="BF47" i="1"/>
  <c r="AP47" i="1"/>
  <c r="AQ47" i="1" s="1"/>
  <c r="AL47" i="1"/>
  <c r="AJ47" i="1"/>
  <c r="AI47" i="1"/>
  <c r="AH47" i="1"/>
  <c r="AD47" i="1"/>
  <c r="Q47" i="1"/>
  <c r="A47" i="1"/>
  <c r="BY46" i="1"/>
  <c r="BY56" i="1" s="1"/>
  <c r="BR46" i="1"/>
  <c r="BR56" i="1" s="1"/>
  <c r="BQ46" i="1"/>
  <c r="BQ56" i="1" s="1"/>
  <c r="BF46" i="1"/>
  <c r="AP46" i="1"/>
  <c r="AL46" i="1"/>
  <c r="AJ46" i="1"/>
  <c r="AI46" i="1"/>
  <c r="AH46" i="1"/>
  <c r="AD46" i="1"/>
  <c r="Q46" i="1"/>
  <c r="A46" i="1"/>
  <c r="BY45" i="1"/>
  <c r="BY55" i="1" s="1"/>
  <c r="BR45" i="1"/>
  <c r="BQ45" i="1"/>
  <c r="BF45" i="1"/>
  <c r="AP45" i="1"/>
  <c r="AQ45" i="1" s="1"/>
  <c r="AL45" i="1"/>
  <c r="AJ45" i="1"/>
  <c r="AI45" i="1"/>
  <c r="L45" i="1"/>
  <c r="A45" i="1"/>
  <c r="BY44" i="1"/>
  <c r="BY54" i="1" s="1"/>
  <c r="BR44" i="1"/>
  <c r="BQ44" i="1"/>
  <c r="BF44" i="1"/>
  <c r="AP44" i="1"/>
  <c r="AQ44" i="1" s="1"/>
  <c r="AL44" i="1"/>
  <c r="AJ44" i="1"/>
  <c r="AI44" i="1"/>
  <c r="L44" i="1"/>
  <c r="A44" i="1"/>
  <c r="BY43" i="1"/>
  <c r="BY53" i="1" s="1"/>
  <c r="BR43" i="1"/>
  <c r="BR53" i="1" s="1"/>
  <c r="BQ43" i="1"/>
  <c r="BQ53" i="1" s="1"/>
  <c r="BF43" i="1"/>
  <c r="AP43" i="1"/>
  <c r="AL43" i="1"/>
  <c r="AJ43" i="1"/>
  <c r="AI43" i="1"/>
  <c r="L43" i="1"/>
  <c r="A43" i="1"/>
  <c r="AH42" i="1"/>
  <c r="S42" i="1"/>
  <c r="A42" i="1"/>
  <c r="AS41" i="1"/>
  <c r="AO41" i="1"/>
  <c r="K41" i="1"/>
  <c r="J41" i="1"/>
  <c r="I41" i="1"/>
  <c r="H41" i="1"/>
  <c r="A41" i="1"/>
  <c r="AS40" i="1"/>
  <c r="AO40" i="1"/>
  <c r="K40" i="1"/>
  <c r="J40" i="1"/>
  <c r="I40" i="1"/>
  <c r="H40" i="1"/>
  <c r="A40" i="1"/>
  <c r="AS39" i="1"/>
  <c r="AO39" i="1"/>
  <c r="K39" i="1"/>
  <c r="J39" i="1"/>
  <c r="I39" i="1"/>
  <c r="H39" i="1"/>
  <c r="A39" i="1"/>
  <c r="AS38" i="1"/>
  <c r="AP38" i="1"/>
  <c r="AO38" i="1"/>
  <c r="AQ38" i="1" s="1"/>
  <c r="K38" i="1"/>
  <c r="J38" i="1"/>
  <c r="I38" i="1"/>
  <c r="H38" i="1"/>
  <c r="A38" i="1"/>
  <c r="AS37" i="1"/>
  <c r="AP37" i="1"/>
  <c r="AO37" i="1"/>
  <c r="AQ37" i="1" s="1"/>
  <c r="K37" i="1"/>
  <c r="J37" i="1"/>
  <c r="I37" i="1"/>
  <c r="H37" i="1"/>
  <c r="A37" i="1"/>
  <c r="AS36" i="1"/>
  <c r="AP36" i="1"/>
  <c r="AO36" i="1"/>
  <c r="AQ36" i="1" s="1"/>
  <c r="K36" i="1"/>
  <c r="J36" i="1"/>
  <c r="I36" i="1"/>
  <c r="H36" i="1"/>
  <c r="A36" i="1"/>
  <c r="AS35" i="1"/>
  <c r="AP35" i="1"/>
  <c r="AO35" i="1"/>
  <c r="AQ35" i="1" s="1"/>
  <c r="L35" i="1"/>
  <c r="K35" i="1"/>
  <c r="J35" i="1"/>
  <c r="I35" i="1"/>
  <c r="H35" i="1"/>
  <c r="A35" i="1"/>
  <c r="AS34" i="1"/>
  <c r="AP34" i="1"/>
  <c r="AO34" i="1"/>
  <c r="AQ34" i="1" s="1"/>
  <c r="L34" i="1"/>
  <c r="K34" i="1"/>
  <c r="J34" i="1"/>
  <c r="I34" i="1"/>
  <c r="H34" i="1"/>
  <c r="A34" i="1"/>
  <c r="AS33" i="1"/>
  <c r="AP33" i="1"/>
  <c r="AO33" i="1"/>
  <c r="AQ33" i="1" s="1"/>
  <c r="L33" i="1"/>
  <c r="K33" i="1"/>
  <c r="J33" i="1"/>
  <c r="I33" i="1"/>
  <c r="H33" i="1"/>
  <c r="A33" i="1"/>
  <c r="BJ32" i="1"/>
  <c r="AH32" i="1"/>
  <c r="AE32" i="1"/>
  <c r="AC32" i="1"/>
  <c r="S32" i="1"/>
  <c r="A32" i="1"/>
  <c r="BY31" i="1"/>
  <c r="BY41" i="1" s="1"/>
  <c r="BR31" i="1"/>
  <c r="BQ31" i="1"/>
  <c r="BF31" i="1"/>
  <c r="AY31" i="1"/>
  <c r="AP31" i="1"/>
  <c r="AQ31" i="1" s="1"/>
  <c r="AL31" i="1"/>
  <c r="AJ31" i="1"/>
  <c r="AI31" i="1"/>
  <c r="AE31" i="1"/>
  <c r="M31" i="1"/>
  <c r="L31" i="1"/>
  <c r="A31" i="1"/>
  <c r="BY30" i="1"/>
  <c r="BY40" i="1" s="1"/>
  <c r="BR30" i="1"/>
  <c r="BQ30" i="1"/>
  <c r="BF30" i="1"/>
  <c r="AY30" i="1"/>
  <c r="AP30" i="1"/>
  <c r="AQ30" i="1" s="1"/>
  <c r="AL30" i="1"/>
  <c r="AJ30" i="1"/>
  <c r="AI30" i="1"/>
  <c r="AE30" i="1"/>
  <c r="M30" i="1"/>
  <c r="L30" i="1"/>
  <c r="A30" i="1"/>
  <c r="BY29" i="1"/>
  <c r="BY39" i="1" s="1"/>
  <c r="BR29" i="1"/>
  <c r="BR39" i="1" s="1"/>
  <c r="BQ29" i="1"/>
  <c r="BQ39" i="1" s="1"/>
  <c r="BF29" i="1"/>
  <c r="AY29" i="1"/>
  <c r="AP29" i="1"/>
  <c r="AL29" i="1"/>
  <c r="AJ29" i="1"/>
  <c r="AI29" i="1"/>
  <c r="AE29" i="1"/>
  <c r="M29" i="1"/>
  <c r="M39" i="1" s="1"/>
  <c r="L29" i="1"/>
  <c r="A29" i="1"/>
  <c r="BY28" i="1"/>
  <c r="BY38" i="1" s="1"/>
  <c r="BR28" i="1"/>
  <c r="BQ28" i="1"/>
  <c r="BF28" i="1"/>
  <c r="AY28" i="1"/>
  <c r="AQ28" i="1"/>
  <c r="AL28" i="1"/>
  <c r="AJ28" i="1"/>
  <c r="AI28" i="1"/>
  <c r="AE28" i="1"/>
  <c r="M28" i="1"/>
  <c r="L28" i="1"/>
  <c r="A28" i="1"/>
  <c r="BY27" i="1"/>
  <c r="BY37" i="1" s="1"/>
  <c r="BR27" i="1"/>
  <c r="BQ27" i="1"/>
  <c r="BF27" i="1"/>
  <c r="AY27" i="1"/>
  <c r="AQ27" i="1"/>
  <c r="AL27" i="1"/>
  <c r="AJ27" i="1"/>
  <c r="AI27" i="1"/>
  <c r="AE27" i="1"/>
  <c r="M27" i="1"/>
  <c r="L27" i="1"/>
  <c r="A27" i="1"/>
  <c r="BY26" i="1"/>
  <c r="BY36" i="1" s="1"/>
  <c r="BR26" i="1"/>
  <c r="BR36" i="1" s="1"/>
  <c r="BQ26" i="1"/>
  <c r="BQ36" i="1" s="1"/>
  <c r="BF26" i="1"/>
  <c r="AY26" i="1"/>
  <c r="AQ26" i="1"/>
  <c r="AL26" i="1"/>
  <c r="AJ26" i="1"/>
  <c r="AI26" i="1"/>
  <c r="AE26" i="1"/>
  <c r="M26" i="1"/>
  <c r="M36" i="1" s="1"/>
  <c r="L26" i="1"/>
  <c r="A26" i="1"/>
  <c r="BY25" i="1"/>
  <c r="BY35" i="1" s="1"/>
  <c r="BR25" i="1"/>
  <c r="BQ25" i="1"/>
  <c r="BF25" i="1"/>
  <c r="AY25" i="1"/>
  <c r="AQ25" i="1"/>
  <c r="AL25" i="1"/>
  <c r="AJ25" i="1"/>
  <c r="AI25" i="1"/>
  <c r="AH25" i="1"/>
  <c r="AE25" i="1"/>
  <c r="AD25" i="1"/>
  <c r="Q25" i="1"/>
  <c r="M25" i="1"/>
  <c r="A25" i="1"/>
  <c r="BY24" i="1"/>
  <c r="BY34" i="1" s="1"/>
  <c r="BR24" i="1"/>
  <c r="BQ24" i="1"/>
  <c r="BF24" i="1"/>
  <c r="AY24" i="1"/>
  <c r="AQ24" i="1"/>
  <c r="AL24" i="1"/>
  <c r="AJ24" i="1"/>
  <c r="AI24" i="1"/>
  <c r="AH24" i="1"/>
  <c r="AE24" i="1"/>
  <c r="AD24" i="1"/>
  <c r="Q24" i="1"/>
  <c r="M24" i="1"/>
  <c r="A24" i="1"/>
  <c r="BY23" i="1"/>
  <c r="BY33" i="1" s="1"/>
  <c r="BR23" i="1"/>
  <c r="BR33" i="1" s="1"/>
  <c r="BQ23" i="1"/>
  <c r="BQ33" i="1" s="1"/>
  <c r="BF23" i="1"/>
  <c r="AY23" i="1"/>
  <c r="AQ23" i="1"/>
  <c r="AL23" i="1"/>
  <c r="AJ23" i="1"/>
  <c r="AI23" i="1"/>
  <c r="AH23" i="1"/>
  <c r="AE23" i="1"/>
  <c r="AD23" i="1"/>
  <c r="Q23" i="1"/>
  <c r="M23" i="1"/>
  <c r="A23" i="1"/>
  <c r="AH22" i="1"/>
  <c r="S22" i="1"/>
  <c r="A22" i="1"/>
  <c r="BY21" i="1"/>
  <c r="AS21" i="1"/>
  <c r="AP21" i="1"/>
  <c r="AO21" i="1"/>
  <c r="AQ21" i="1" s="1"/>
  <c r="K21" i="1"/>
  <c r="J21" i="1"/>
  <c r="I21" i="1"/>
  <c r="H21" i="1"/>
  <c r="A21" i="1"/>
  <c r="BY20" i="1"/>
  <c r="AS20" i="1"/>
  <c r="AP20" i="1"/>
  <c r="AO20" i="1"/>
  <c r="AQ20" i="1" s="1"/>
  <c r="K20" i="1"/>
  <c r="J20" i="1"/>
  <c r="I20" i="1"/>
  <c r="H20" i="1"/>
  <c r="A20" i="1"/>
  <c r="BY19" i="1"/>
  <c r="AS19" i="1"/>
  <c r="AP19" i="1"/>
  <c r="AO19" i="1"/>
  <c r="AQ19" i="1" s="1"/>
  <c r="K19" i="1"/>
  <c r="J19" i="1"/>
  <c r="I19" i="1"/>
  <c r="H19" i="1"/>
  <c r="A19" i="1"/>
  <c r="BY18" i="1"/>
  <c r="AS18" i="1"/>
  <c r="AP18" i="1"/>
  <c r="AO18" i="1"/>
  <c r="AQ18" i="1" s="1"/>
  <c r="L18" i="1"/>
  <c r="K18" i="1"/>
  <c r="J18" i="1"/>
  <c r="I18" i="1"/>
  <c r="H18" i="1"/>
  <c r="A18" i="1"/>
  <c r="BY17" i="1"/>
  <c r="AS17" i="1"/>
  <c r="AP17" i="1"/>
  <c r="AO17" i="1"/>
  <c r="AQ17" i="1" s="1"/>
  <c r="L17" i="1"/>
  <c r="K17" i="1"/>
  <c r="J17" i="1"/>
  <c r="I17" i="1"/>
  <c r="H17" i="1"/>
  <c r="A17" i="1"/>
  <c r="BY16" i="1"/>
  <c r="AS16" i="1"/>
  <c r="AP16" i="1"/>
  <c r="AO16" i="1"/>
  <c r="AQ16" i="1" s="1"/>
  <c r="L16" i="1"/>
  <c r="K16" i="1"/>
  <c r="J16" i="1"/>
  <c r="I16" i="1"/>
  <c r="H16" i="1"/>
  <c r="A16" i="1"/>
  <c r="BY15" i="1"/>
  <c r="AS15" i="1"/>
  <c r="AP15" i="1"/>
  <c r="AO15" i="1"/>
  <c r="AQ15" i="1" s="1"/>
  <c r="L15" i="1"/>
  <c r="K15" i="1"/>
  <c r="J15" i="1"/>
  <c r="I15" i="1"/>
  <c r="H15" i="1"/>
  <c r="A15" i="1"/>
  <c r="BY14" i="1"/>
  <c r="AS14" i="1"/>
  <c r="AP14" i="1"/>
  <c r="AO14" i="1"/>
  <c r="AQ14" i="1" s="1"/>
  <c r="L14" i="1"/>
  <c r="K14" i="1"/>
  <c r="J14" i="1"/>
  <c r="I14" i="1"/>
  <c r="H14" i="1"/>
  <c r="A14" i="1"/>
  <c r="BY13" i="1"/>
  <c r="AS13" i="1"/>
  <c r="AP13" i="1"/>
  <c r="AO13" i="1"/>
  <c r="AQ13" i="1" s="1"/>
  <c r="L13" i="1"/>
  <c r="K13" i="1"/>
  <c r="J13" i="1"/>
  <c r="I13" i="1"/>
  <c r="H13" i="1"/>
  <c r="A13" i="1"/>
  <c r="BN12" i="1"/>
  <c r="BJ12" i="1"/>
  <c r="AH12" i="1"/>
  <c r="AE12" i="1"/>
  <c r="AC12" i="1"/>
  <c r="S12" i="1"/>
  <c r="A12" i="1"/>
  <c r="BY11" i="1"/>
  <c r="BR11" i="1"/>
  <c r="BQ11" i="1"/>
  <c r="BF11" i="1"/>
  <c r="AY11" i="1"/>
  <c r="AQ11" i="1"/>
  <c r="AL11" i="1"/>
  <c r="AJ11" i="1"/>
  <c r="AI11" i="1"/>
  <c r="AE11" i="1"/>
  <c r="M11" i="1"/>
  <c r="L11" i="1"/>
  <c r="A11" i="1"/>
  <c r="BY10" i="1"/>
  <c r="BR10" i="1"/>
  <c r="BQ10" i="1"/>
  <c r="BF10" i="1"/>
  <c r="AY10" i="1"/>
  <c r="AQ10" i="1"/>
  <c r="AL10" i="1"/>
  <c r="AJ10" i="1"/>
  <c r="AI10" i="1"/>
  <c r="AE10" i="1"/>
  <c r="M10" i="1"/>
  <c r="L10" i="1"/>
  <c r="A10" i="1"/>
  <c r="BY9" i="1"/>
  <c r="BR9" i="1"/>
  <c r="BR19" i="1" s="1"/>
  <c r="BQ9" i="1"/>
  <c r="BQ19" i="1" s="1"/>
  <c r="BF9" i="1"/>
  <c r="AY9" i="1"/>
  <c r="AQ9" i="1"/>
  <c r="AL9" i="1"/>
  <c r="AJ9" i="1"/>
  <c r="AI9" i="1"/>
  <c r="AE9" i="1"/>
  <c r="M9" i="1"/>
  <c r="M19" i="1" s="1"/>
  <c r="L9" i="1"/>
  <c r="A9" i="1"/>
  <c r="BY8" i="1"/>
  <c r="BR8" i="1"/>
  <c r="BQ8" i="1"/>
  <c r="BF8" i="1"/>
  <c r="AY8" i="1"/>
  <c r="AQ8" i="1"/>
  <c r="AL8" i="1"/>
  <c r="AJ8" i="1"/>
  <c r="AI8" i="1"/>
  <c r="AH8" i="1"/>
  <c r="AE8" i="1"/>
  <c r="AD8" i="1"/>
  <c r="Q8" i="1"/>
  <c r="M8" i="1"/>
  <c r="A8" i="1"/>
  <c r="BY7" i="1"/>
  <c r="BR7" i="1"/>
  <c r="BQ7" i="1"/>
  <c r="BF7" i="1"/>
  <c r="AY7" i="1"/>
  <c r="AQ7" i="1"/>
  <c r="AL7" i="1"/>
  <c r="AJ7" i="1"/>
  <c r="AI7" i="1"/>
  <c r="AH7" i="1"/>
  <c r="AE7" i="1"/>
  <c r="AD7" i="1"/>
  <c r="Q7" i="1"/>
  <c r="M7" i="1"/>
  <c r="A7" i="1"/>
  <c r="BY6" i="1"/>
  <c r="BR6" i="1"/>
  <c r="BR16" i="1" s="1"/>
  <c r="BQ6" i="1"/>
  <c r="BQ16" i="1" s="1"/>
  <c r="BF6" i="1"/>
  <c r="AY6" i="1"/>
  <c r="AQ6" i="1"/>
  <c r="AL6" i="1"/>
  <c r="AJ6" i="1"/>
  <c r="AI6" i="1"/>
  <c r="AH6" i="1"/>
  <c r="AE6" i="1"/>
  <c r="AD6" i="1"/>
  <c r="Q6" i="1"/>
  <c r="M6" i="1"/>
  <c r="A6" i="1"/>
  <c r="BY5" i="1"/>
  <c r="BR5" i="1"/>
  <c r="BQ5" i="1"/>
  <c r="BF5" i="1"/>
  <c r="AY5" i="1"/>
  <c r="AQ5" i="1"/>
  <c r="AL5" i="1"/>
  <c r="AJ5" i="1"/>
  <c r="AI5" i="1"/>
  <c r="AH5" i="1"/>
  <c r="AE5" i="1"/>
  <c r="AD5" i="1"/>
  <c r="Q5" i="1"/>
  <c r="M5" i="1"/>
  <c r="A5" i="1"/>
  <c r="BY4" i="1"/>
  <c r="BR4" i="1"/>
  <c r="BQ4" i="1"/>
  <c r="BF4" i="1"/>
  <c r="AY4" i="1"/>
  <c r="AQ4" i="1"/>
  <c r="AL4" i="1"/>
  <c r="AJ4" i="1"/>
  <c r="AI4" i="1"/>
  <c r="AH4" i="1"/>
  <c r="AE4" i="1"/>
  <c r="AD4" i="1"/>
  <c r="Q4" i="1"/>
  <c r="M4" i="1"/>
  <c r="A4" i="1"/>
  <c r="BY3" i="1"/>
  <c r="BR3" i="1"/>
  <c r="BR13" i="1" s="1"/>
  <c r="BQ3" i="1"/>
  <c r="BQ13" i="1" s="1"/>
  <c r="BF3" i="1"/>
  <c r="AY3" i="1"/>
  <c r="AQ3" i="1"/>
  <c r="AL3" i="1"/>
  <c r="AJ3" i="1"/>
  <c r="AI3" i="1"/>
  <c r="AH3" i="1"/>
  <c r="AE3" i="1"/>
  <c r="AD3" i="1"/>
  <c r="Q3" i="1"/>
  <c r="M3" i="1"/>
  <c r="A3" i="1"/>
  <c r="M13" i="1" l="1"/>
  <c r="Z3" i="1"/>
  <c r="U3" i="1"/>
  <c r="V3" i="1" s="1"/>
  <c r="N3" i="1"/>
  <c r="Q15" i="1"/>
  <c r="Q14" i="1"/>
  <c r="Q13" i="1"/>
  <c r="BH3" i="1"/>
  <c r="AB3" i="1" s="1"/>
  <c r="AC3" i="1" s="1"/>
  <c r="S3" i="1"/>
  <c r="R3" i="1"/>
  <c r="EE3" i="1"/>
  <c r="EF3" i="1" s="1"/>
  <c r="EH3" i="1" s="1"/>
  <c r="DY3" i="1"/>
  <c r="DZ3" i="1" s="1"/>
  <c r="EB3" i="1" s="1"/>
  <c r="DS3" i="1"/>
  <c r="DT3" i="1" s="1"/>
  <c r="DV3" i="1" s="1"/>
  <c r="DQ3" i="1"/>
  <c r="DJ3" i="1"/>
  <c r="DK3" i="1" s="1"/>
  <c r="DM3" i="1" s="1"/>
  <c r="DD3" i="1"/>
  <c r="DE3" i="1" s="1"/>
  <c r="DG3" i="1" s="1"/>
  <c r="CX3" i="1"/>
  <c r="CY3" i="1" s="1"/>
  <c r="DA3" i="1" s="1"/>
  <c r="CV3" i="1"/>
  <c r="CO3" i="1"/>
  <c r="CP3" i="1" s="1"/>
  <c r="CR3" i="1" s="1"/>
  <c r="CI3" i="1"/>
  <c r="CJ3" i="1" s="1"/>
  <c r="CL3" i="1" s="1"/>
  <c r="CC3" i="1"/>
  <c r="CD3" i="1" s="1"/>
  <c r="CF3" i="1" s="1"/>
  <c r="CA3" i="1"/>
  <c r="BU3" i="1"/>
  <c r="BU13" i="1" s="1"/>
  <c r="BT3" i="1"/>
  <c r="BT13" i="1" s="1"/>
  <c r="BL3" i="1"/>
  <c r="BL13" i="1" s="1"/>
  <c r="AX3" i="1"/>
  <c r="BD3" i="1"/>
  <c r="AK3" i="1"/>
  <c r="AI15" i="1"/>
  <c r="AI14" i="1"/>
  <c r="AI13" i="1"/>
  <c r="AJ15" i="1"/>
  <c r="AJ14" i="1"/>
  <c r="AJ13" i="1"/>
  <c r="AL15" i="1"/>
  <c r="AL14" i="1"/>
  <c r="AL13" i="1"/>
  <c r="AY15" i="1"/>
  <c r="AE15" i="1" s="1"/>
  <c r="AY14" i="1"/>
  <c r="AE14" i="1" s="1"/>
  <c r="AY13" i="1"/>
  <c r="AE13" i="1" s="1"/>
  <c r="BW3" i="1"/>
  <c r="BW13" i="1" s="1"/>
  <c r="BV3" i="1"/>
  <c r="BV13" i="1" s="1"/>
  <c r="BO3" i="1"/>
  <c r="BO13" i="1" s="1"/>
  <c r="BN3" i="1"/>
  <c r="BN13" i="1" s="1"/>
  <c r="BM3" i="1"/>
  <c r="BM13" i="1" s="1"/>
  <c r="BJ3" i="1"/>
  <c r="BJ13" i="1" s="1"/>
  <c r="BA3" i="1"/>
  <c r="BF13" i="1"/>
  <c r="BG13" i="1" s="1"/>
  <c r="BI3" i="1"/>
  <c r="BI13" i="1" s="1"/>
  <c r="BG3" i="1"/>
  <c r="M14" i="1"/>
  <c r="Z4" i="1"/>
  <c r="U4" i="1"/>
  <c r="V4" i="1" s="1"/>
  <c r="N4" i="1"/>
  <c r="BH4" i="1"/>
  <c r="AB4" i="1" s="1"/>
  <c r="AC4" i="1" s="1"/>
  <c r="S4" i="1"/>
  <c r="R4" i="1"/>
  <c r="EE4" i="1"/>
  <c r="EF4" i="1" s="1"/>
  <c r="EH4" i="1" s="1"/>
  <c r="DY4" i="1"/>
  <c r="DZ4" i="1" s="1"/>
  <c r="EB4" i="1" s="1"/>
  <c r="DS4" i="1"/>
  <c r="DT4" i="1" s="1"/>
  <c r="DV4" i="1" s="1"/>
  <c r="DQ4" i="1"/>
  <c r="DJ4" i="1"/>
  <c r="DK4" i="1" s="1"/>
  <c r="DM4" i="1" s="1"/>
  <c r="DD4" i="1"/>
  <c r="DE4" i="1" s="1"/>
  <c r="DG4" i="1" s="1"/>
  <c r="CX4" i="1"/>
  <c r="CY4" i="1" s="1"/>
  <c r="DA4" i="1" s="1"/>
  <c r="CV4" i="1"/>
  <c r="CO4" i="1"/>
  <c r="CP4" i="1" s="1"/>
  <c r="CR4" i="1" s="1"/>
  <c r="CI4" i="1"/>
  <c r="CJ4" i="1" s="1"/>
  <c r="CL4" i="1" s="1"/>
  <c r="CC4" i="1"/>
  <c r="CD4" i="1" s="1"/>
  <c r="CF4" i="1" s="1"/>
  <c r="CA4" i="1"/>
  <c r="BU4" i="1"/>
  <c r="BU14" i="1" s="1"/>
  <c r="BT4" i="1"/>
  <c r="BT14" i="1" s="1"/>
  <c r="BL4" i="1"/>
  <c r="BL14" i="1" s="1"/>
  <c r="AX4" i="1"/>
  <c r="AZ4" i="1" s="1"/>
  <c r="AF4" i="1"/>
  <c r="BD4" i="1"/>
  <c r="AK4" i="1"/>
  <c r="AM4" i="1" s="1"/>
  <c r="BW4" i="1"/>
  <c r="BW14" i="1" s="1"/>
  <c r="BV4" i="1"/>
  <c r="BV14" i="1" s="1"/>
  <c r="BO4" i="1"/>
  <c r="BO14" i="1" s="1"/>
  <c r="BN4" i="1"/>
  <c r="BN14" i="1" s="1"/>
  <c r="BM4" i="1"/>
  <c r="BM14" i="1" s="1"/>
  <c r="BJ4" i="1"/>
  <c r="BJ14" i="1" s="1"/>
  <c r="BA4" i="1"/>
  <c r="BF14" i="1"/>
  <c r="BG14" i="1" s="1"/>
  <c r="BI4" i="1"/>
  <c r="BI14" i="1" s="1"/>
  <c r="BG4" i="1"/>
  <c r="BQ14" i="1"/>
  <c r="BR14" i="1"/>
  <c r="M15" i="1"/>
  <c r="Z5" i="1"/>
  <c r="U5" i="1"/>
  <c r="V5" i="1" s="1"/>
  <c r="N5" i="1"/>
  <c r="BH5" i="1"/>
  <c r="AB5" i="1" s="1"/>
  <c r="AC5" i="1" s="1"/>
  <c r="S5" i="1"/>
  <c r="R5" i="1"/>
  <c r="EE5" i="1"/>
  <c r="EF5" i="1" s="1"/>
  <c r="EH5" i="1" s="1"/>
  <c r="DY5" i="1"/>
  <c r="DZ5" i="1" s="1"/>
  <c r="EB5" i="1" s="1"/>
  <c r="DS5" i="1"/>
  <c r="DT5" i="1" s="1"/>
  <c r="DV5" i="1" s="1"/>
  <c r="DQ5" i="1"/>
  <c r="DJ5" i="1"/>
  <c r="DK5" i="1" s="1"/>
  <c r="DM5" i="1" s="1"/>
  <c r="DD5" i="1"/>
  <c r="DE5" i="1" s="1"/>
  <c r="DG5" i="1" s="1"/>
  <c r="CX5" i="1"/>
  <c r="CY5" i="1" s="1"/>
  <c r="DA5" i="1" s="1"/>
  <c r="CV5" i="1"/>
  <c r="CO5" i="1"/>
  <c r="CP5" i="1" s="1"/>
  <c r="CR5" i="1" s="1"/>
  <c r="CI5" i="1"/>
  <c r="CJ5" i="1" s="1"/>
  <c r="CL5" i="1" s="1"/>
  <c r="CC5" i="1"/>
  <c r="CD5" i="1" s="1"/>
  <c r="CF5" i="1" s="1"/>
  <c r="CA5" i="1"/>
  <c r="BU5" i="1"/>
  <c r="BU15" i="1" s="1"/>
  <c r="BT5" i="1"/>
  <c r="BT15" i="1" s="1"/>
  <c r="BL5" i="1"/>
  <c r="BL15" i="1" s="1"/>
  <c r="AX5" i="1"/>
  <c r="AZ5" i="1" s="1"/>
  <c r="AF5" i="1"/>
  <c r="BD5" i="1"/>
  <c r="AK5" i="1"/>
  <c r="AM5" i="1" s="1"/>
  <c r="BW5" i="1"/>
  <c r="BW15" i="1" s="1"/>
  <c r="BV5" i="1"/>
  <c r="BV15" i="1" s="1"/>
  <c r="BO5" i="1"/>
  <c r="BO15" i="1" s="1"/>
  <c r="BN5" i="1"/>
  <c r="BN15" i="1" s="1"/>
  <c r="BM5" i="1"/>
  <c r="BM15" i="1" s="1"/>
  <c r="BJ5" i="1"/>
  <c r="BJ15" i="1" s="1"/>
  <c r="BA5" i="1"/>
  <c r="BF15" i="1"/>
  <c r="BG15" i="1" s="1"/>
  <c r="BI5" i="1"/>
  <c r="BI15" i="1" s="1"/>
  <c r="BG5" i="1"/>
  <c r="BQ15" i="1"/>
  <c r="BR15" i="1"/>
  <c r="M16" i="1"/>
  <c r="Z6" i="1"/>
  <c r="U6" i="1"/>
  <c r="V6" i="1" s="1"/>
  <c r="N6" i="1"/>
  <c r="Q16" i="1"/>
  <c r="BH6" i="1"/>
  <c r="AB6" i="1" s="1"/>
  <c r="AC6" i="1" s="1"/>
  <c r="S6" i="1"/>
  <c r="R6" i="1"/>
  <c r="EE6" i="1"/>
  <c r="EF6" i="1" s="1"/>
  <c r="EH6" i="1" s="1"/>
  <c r="DY6" i="1"/>
  <c r="DZ6" i="1" s="1"/>
  <c r="EB6" i="1" s="1"/>
  <c r="DS6" i="1"/>
  <c r="DT6" i="1" s="1"/>
  <c r="DV6" i="1" s="1"/>
  <c r="DQ6" i="1"/>
  <c r="DJ6" i="1"/>
  <c r="DK6" i="1" s="1"/>
  <c r="DM6" i="1" s="1"/>
  <c r="DD6" i="1"/>
  <c r="DE6" i="1" s="1"/>
  <c r="DG6" i="1" s="1"/>
  <c r="CX6" i="1"/>
  <c r="CY6" i="1" s="1"/>
  <c r="DA6" i="1" s="1"/>
  <c r="CV6" i="1"/>
  <c r="CO6" i="1"/>
  <c r="CP6" i="1" s="1"/>
  <c r="CR6" i="1" s="1"/>
  <c r="CI6" i="1"/>
  <c r="CJ6" i="1" s="1"/>
  <c r="CL6" i="1" s="1"/>
  <c r="CC6" i="1"/>
  <c r="CD6" i="1" s="1"/>
  <c r="CF6" i="1" s="1"/>
  <c r="CA6" i="1"/>
  <c r="BU6" i="1"/>
  <c r="BU16" i="1" s="1"/>
  <c r="BT6" i="1"/>
  <c r="BT16" i="1" s="1"/>
  <c r="BL6" i="1"/>
  <c r="BL16" i="1" s="1"/>
  <c r="AX6" i="1"/>
  <c r="AF6" i="1"/>
  <c r="BD6" i="1"/>
  <c r="AK6" i="1"/>
  <c r="AM6" i="1" s="1"/>
  <c r="AI18" i="1"/>
  <c r="AI17" i="1"/>
  <c r="AI16" i="1"/>
  <c r="AJ18" i="1"/>
  <c r="AJ17" i="1"/>
  <c r="AJ16" i="1"/>
  <c r="AL18" i="1"/>
  <c r="AL16" i="1"/>
  <c r="AY18" i="1"/>
  <c r="AE18" i="1" s="1"/>
  <c r="AY17" i="1"/>
  <c r="AE17" i="1" s="1"/>
  <c r="AY16" i="1"/>
  <c r="AE16" i="1" s="1"/>
  <c r="BW6" i="1"/>
  <c r="BW16" i="1" s="1"/>
  <c r="BV6" i="1"/>
  <c r="BV16" i="1" s="1"/>
  <c r="BO6" i="1"/>
  <c r="BO16" i="1" s="1"/>
  <c r="BN6" i="1"/>
  <c r="BN16" i="1" s="1"/>
  <c r="BM6" i="1"/>
  <c r="BM16" i="1" s="1"/>
  <c r="BJ6" i="1"/>
  <c r="BJ16" i="1" s="1"/>
  <c r="BA6" i="1"/>
  <c r="BF16" i="1"/>
  <c r="BG16" i="1" s="1"/>
  <c r="BI6" i="1"/>
  <c r="BI16" i="1" s="1"/>
  <c r="BG6" i="1"/>
  <c r="M17" i="1"/>
  <c r="Z7" i="1"/>
  <c r="U7" i="1"/>
  <c r="V7" i="1" s="1"/>
  <c r="N7" i="1"/>
  <c r="BH7" i="1"/>
  <c r="AB7" i="1" s="1"/>
  <c r="AC7" i="1" s="1"/>
  <c r="S7" i="1"/>
  <c r="R7" i="1"/>
  <c r="EE7" i="1"/>
  <c r="EF7" i="1" s="1"/>
  <c r="EH7" i="1" s="1"/>
  <c r="DY7" i="1"/>
  <c r="DZ7" i="1" s="1"/>
  <c r="EB7" i="1" s="1"/>
  <c r="DS7" i="1"/>
  <c r="DT7" i="1" s="1"/>
  <c r="DV7" i="1" s="1"/>
  <c r="DQ7" i="1"/>
  <c r="DJ7" i="1"/>
  <c r="DK7" i="1" s="1"/>
  <c r="DM7" i="1" s="1"/>
  <c r="DD7" i="1"/>
  <c r="DE7" i="1" s="1"/>
  <c r="DG7" i="1" s="1"/>
  <c r="CX7" i="1"/>
  <c r="CY7" i="1" s="1"/>
  <c r="DA7" i="1" s="1"/>
  <c r="CV7" i="1"/>
  <c r="CO7" i="1"/>
  <c r="CP7" i="1" s="1"/>
  <c r="CR7" i="1" s="1"/>
  <c r="CI7" i="1"/>
  <c r="CJ7" i="1" s="1"/>
  <c r="CL7" i="1" s="1"/>
  <c r="CC7" i="1"/>
  <c r="CD7" i="1" s="1"/>
  <c r="CF7" i="1" s="1"/>
  <c r="CA7" i="1"/>
  <c r="BU7" i="1"/>
  <c r="BU17" i="1" s="1"/>
  <c r="BT7" i="1"/>
  <c r="BT17" i="1" s="1"/>
  <c r="BL7" i="1"/>
  <c r="BL17" i="1" s="1"/>
  <c r="AX7" i="1"/>
  <c r="AZ7" i="1" s="1"/>
  <c r="AF7" i="1"/>
  <c r="BD7" i="1"/>
  <c r="AK7" i="1"/>
  <c r="AM7" i="1" s="1"/>
  <c r="AL17" i="1"/>
  <c r="BW7" i="1"/>
  <c r="BW17" i="1" s="1"/>
  <c r="BV7" i="1"/>
  <c r="BV17" i="1" s="1"/>
  <c r="BO7" i="1"/>
  <c r="BO17" i="1" s="1"/>
  <c r="BN7" i="1"/>
  <c r="BN17" i="1" s="1"/>
  <c r="BM7" i="1"/>
  <c r="BM17" i="1" s="1"/>
  <c r="BJ7" i="1"/>
  <c r="BJ17" i="1" s="1"/>
  <c r="BA7" i="1"/>
  <c r="BF17" i="1"/>
  <c r="BG17" i="1" s="1"/>
  <c r="BI7" i="1"/>
  <c r="BI17" i="1" s="1"/>
  <c r="BG7" i="1"/>
  <c r="BQ17" i="1"/>
  <c r="BR17" i="1"/>
  <c r="M18" i="1"/>
  <c r="Z8" i="1"/>
  <c r="U8" i="1"/>
  <c r="V8" i="1" s="1"/>
  <c r="N8" i="1"/>
  <c r="BH8" i="1"/>
  <c r="AB8" i="1" s="1"/>
  <c r="AC8" i="1" s="1"/>
  <c r="S8" i="1"/>
  <c r="R8" i="1"/>
  <c r="EE8" i="1"/>
  <c r="EF8" i="1" s="1"/>
  <c r="EH8" i="1" s="1"/>
  <c r="DY8" i="1"/>
  <c r="DZ8" i="1" s="1"/>
  <c r="EB8" i="1" s="1"/>
  <c r="DS8" i="1"/>
  <c r="DT8" i="1" s="1"/>
  <c r="DV8" i="1" s="1"/>
  <c r="DQ8" i="1"/>
  <c r="DJ8" i="1"/>
  <c r="DK8" i="1" s="1"/>
  <c r="DM8" i="1" s="1"/>
  <c r="DD8" i="1"/>
  <c r="DE8" i="1" s="1"/>
  <c r="DG8" i="1" s="1"/>
  <c r="CX8" i="1"/>
  <c r="CY8" i="1" s="1"/>
  <c r="DA8" i="1" s="1"/>
  <c r="CV8" i="1"/>
  <c r="CO8" i="1"/>
  <c r="CP8" i="1" s="1"/>
  <c r="CR8" i="1" s="1"/>
  <c r="CI8" i="1"/>
  <c r="CJ8" i="1" s="1"/>
  <c r="CL8" i="1" s="1"/>
  <c r="CC8" i="1"/>
  <c r="CD8" i="1" s="1"/>
  <c r="CF8" i="1" s="1"/>
  <c r="CA8" i="1"/>
  <c r="BU8" i="1"/>
  <c r="BU18" i="1" s="1"/>
  <c r="BT8" i="1"/>
  <c r="BT18" i="1" s="1"/>
  <c r="BL8" i="1"/>
  <c r="BL18" i="1" s="1"/>
  <c r="AX8" i="1"/>
  <c r="AZ8" i="1" s="1"/>
  <c r="AF8" i="1"/>
  <c r="BD8" i="1"/>
  <c r="AK8" i="1"/>
  <c r="AM8" i="1" s="1"/>
  <c r="BW8" i="1"/>
  <c r="BW18" i="1" s="1"/>
  <c r="BV8" i="1"/>
  <c r="BV18" i="1" s="1"/>
  <c r="BO8" i="1"/>
  <c r="BO18" i="1" s="1"/>
  <c r="BN8" i="1"/>
  <c r="BN18" i="1" s="1"/>
  <c r="BM8" i="1"/>
  <c r="BM18" i="1" s="1"/>
  <c r="BJ8" i="1"/>
  <c r="BJ18" i="1" s="1"/>
  <c r="BA8" i="1"/>
  <c r="BF18" i="1"/>
  <c r="BG18" i="1" s="1"/>
  <c r="BI8" i="1"/>
  <c r="BI18" i="1" s="1"/>
  <c r="BG8" i="1"/>
  <c r="BQ18" i="1"/>
  <c r="BR18" i="1"/>
  <c r="L19" i="1"/>
  <c r="AH9" i="1"/>
  <c r="AD9" i="1"/>
  <c r="Z9" i="1"/>
  <c r="U9" i="1"/>
  <c r="V9" i="1" s="1"/>
  <c r="Q9" i="1"/>
  <c r="N9" i="1"/>
  <c r="AI21" i="1"/>
  <c r="AI20" i="1"/>
  <c r="AI19" i="1"/>
  <c r="AJ21" i="1"/>
  <c r="AJ20" i="1"/>
  <c r="AJ19" i="1"/>
  <c r="AL21" i="1"/>
  <c r="AL20" i="1"/>
  <c r="AL19" i="1"/>
  <c r="AY21" i="1"/>
  <c r="AE21" i="1" s="1"/>
  <c r="AY19" i="1"/>
  <c r="AE19" i="1" s="1"/>
  <c r="BW9" i="1"/>
  <c r="BW19" i="1" s="1"/>
  <c r="BV9" i="1"/>
  <c r="BV19" i="1" s="1"/>
  <c r="BO9" i="1"/>
  <c r="BO19" i="1" s="1"/>
  <c r="BN9" i="1"/>
  <c r="BN19" i="1" s="1"/>
  <c r="BM9" i="1"/>
  <c r="BM19" i="1" s="1"/>
  <c r="BJ9" i="1"/>
  <c r="BJ19" i="1" s="1"/>
  <c r="BA9" i="1"/>
  <c r="BF19" i="1"/>
  <c r="BI9" i="1"/>
  <c r="BI19" i="1" s="1"/>
  <c r="L20" i="1"/>
  <c r="AH10" i="1"/>
  <c r="AD10" i="1"/>
  <c r="Z10" i="1"/>
  <c r="U10" i="1"/>
  <c r="V10" i="1" s="1"/>
  <c r="Q10" i="1"/>
  <c r="N10" i="1"/>
  <c r="M20" i="1"/>
  <c r="AY20" i="1"/>
  <c r="AE20" i="1" s="1"/>
  <c r="BW10" i="1"/>
  <c r="BW20" i="1" s="1"/>
  <c r="BV10" i="1"/>
  <c r="BV20" i="1" s="1"/>
  <c r="BO10" i="1"/>
  <c r="BO20" i="1" s="1"/>
  <c r="BN10" i="1"/>
  <c r="BN20" i="1" s="1"/>
  <c r="BM10" i="1"/>
  <c r="BM20" i="1" s="1"/>
  <c r="BJ10" i="1"/>
  <c r="BJ20" i="1" s="1"/>
  <c r="BA10" i="1"/>
  <c r="BF20" i="1"/>
  <c r="BI10" i="1"/>
  <c r="BI20" i="1" s="1"/>
  <c r="BQ20" i="1"/>
  <c r="BR20" i="1"/>
  <c r="L21" i="1"/>
  <c r="AH11" i="1"/>
  <c r="AD11" i="1"/>
  <c r="Z11" i="1"/>
  <c r="U11" i="1"/>
  <c r="V11" i="1" s="1"/>
  <c r="Q11" i="1"/>
  <c r="N11" i="1"/>
  <c r="M21" i="1"/>
  <c r="BW11" i="1"/>
  <c r="BW21" i="1" s="1"/>
  <c r="BV11" i="1"/>
  <c r="BV21" i="1" s="1"/>
  <c r="BO11" i="1"/>
  <c r="BO21" i="1" s="1"/>
  <c r="BN11" i="1"/>
  <c r="BN21" i="1" s="1"/>
  <c r="BM11" i="1"/>
  <c r="BM21" i="1" s="1"/>
  <c r="BJ11" i="1"/>
  <c r="BJ21" i="1" s="1"/>
  <c r="BA11" i="1"/>
  <c r="BF21" i="1"/>
  <c r="BI11" i="1"/>
  <c r="BI21" i="1" s="1"/>
  <c r="BQ21" i="1"/>
  <c r="BR21" i="1"/>
  <c r="BA13" i="1"/>
  <c r="AH13" i="1"/>
  <c r="BD13" i="1" s="1"/>
  <c r="AD13" i="1"/>
  <c r="Z13" i="1"/>
  <c r="U13" i="1"/>
  <c r="V13" i="1" s="1"/>
  <c r="N13" i="1"/>
  <c r="BA14" i="1"/>
  <c r="AH14" i="1"/>
  <c r="AD14" i="1"/>
  <c r="Z14" i="1"/>
  <c r="U14" i="1"/>
  <c r="V14" i="1" s="1"/>
  <c r="N14" i="1"/>
  <c r="BA15" i="1"/>
  <c r="AH15" i="1"/>
  <c r="AD15" i="1"/>
  <c r="Z15" i="1"/>
  <c r="U15" i="1"/>
  <c r="V15" i="1" s="1"/>
  <c r="N15" i="1"/>
  <c r="BA16" i="1"/>
  <c r="AH16" i="1"/>
  <c r="AD16" i="1"/>
  <c r="Z16" i="1"/>
  <c r="U16" i="1"/>
  <c r="V16" i="1" s="1"/>
  <c r="N16" i="1"/>
  <c r="BA17" i="1"/>
  <c r="AH17" i="1"/>
  <c r="AD17" i="1"/>
  <c r="Z17" i="1"/>
  <c r="U17" i="1"/>
  <c r="V17" i="1" s="1"/>
  <c r="N17" i="1"/>
  <c r="BA18" i="1"/>
  <c r="AH18" i="1"/>
  <c r="AD18" i="1"/>
  <c r="Z18" i="1"/>
  <c r="U18" i="1"/>
  <c r="V18" i="1" s="1"/>
  <c r="N18" i="1"/>
  <c r="BA19" i="1"/>
  <c r="BA20" i="1"/>
  <c r="BA21" i="1"/>
  <c r="M33" i="1"/>
  <c r="Z23" i="1"/>
  <c r="U23" i="1"/>
  <c r="V23" i="1" s="1"/>
  <c r="N23" i="1"/>
  <c r="Q35" i="1"/>
  <c r="Q34" i="1"/>
  <c r="Q33" i="1"/>
  <c r="BH23" i="1"/>
  <c r="AB23" i="1" s="1"/>
  <c r="AC23" i="1" s="1"/>
  <c r="S23" i="1"/>
  <c r="R23" i="1"/>
  <c r="EE23" i="1"/>
  <c r="EF23" i="1" s="1"/>
  <c r="EH23" i="1" s="1"/>
  <c r="DY23" i="1"/>
  <c r="DZ23" i="1" s="1"/>
  <c r="EB23" i="1" s="1"/>
  <c r="DS23" i="1"/>
  <c r="DT23" i="1" s="1"/>
  <c r="DV23" i="1" s="1"/>
  <c r="DQ23" i="1"/>
  <c r="DJ23" i="1"/>
  <c r="DK23" i="1" s="1"/>
  <c r="DM23" i="1" s="1"/>
  <c r="DD23" i="1"/>
  <c r="DE23" i="1" s="1"/>
  <c r="DG23" i="1" s="1"/>
  <c r="CX23" i="1"/>
  <c r="CY23" i="1" s="1"/>
  <c r="DA23" i="1" s="1"/>
  <c r="CV23" i="1"/>
  <c r="CO23" i="1"/>
  <c r="CP23" i="1" s="1"/>
  <c r="CR23" i="1" s="1"/>
  <c r="CI23" i="1"/>
  <c r="CJ23" i="1" s="1"/>
  <c r="CL23" i="1" s="1"/>
  <c r="CC23" i="1"/>
  <c r="CD23" i="1" s="1"/>
  <c r="CF23" i="1" s="1"/>
  <c r="CA23" i="1"/>
  <c r="BU23" i="1"/>
  <c r="BU33" i="1" s="1"/>
  <c r="BT23" i="1"/>
  <c r="BT33" i="1" s="1"/>
  <c r="BL23" i="1"/>
  <c r="BL33" i="1" s="1"/>
  <c r="AX23" i="1"/>
  <c r="AF23" i="1"/>
  <c r="BD23" i="1"/>
  <c r="AK23" i="1"/>
  <c r="AI35" i="1"/>
  <c r="AI34" i="1"/>
  <c r="AI33" i="1"/>
  <c r="AJ35" i="1"/>
  <c r="AJ34" i="1"/>
  <c r="AJ33" i="1"/>
  <c r="AL35" i="1"/>
  <c r="AL34" i="1"/>
  <c r="AL33" i="1"/>
  <c r="AY35" i="1"/>
  <c r="AE35" i="1" s="1"/>
  <c r="AY34" i="1"/>
  <c r="AE34" i="1" s="1"/>
  <c r="AY33" i="1"/>
  <c r="AE33" i="1" s="1"/>
  <c r="BW23" i="1"/>
  <c r="BW33" i="1" s="1"/>
  <c r="BV23" i="1"/>
  <c r="BV33" i="1" s="1"/>
  <c r="BO23" i="1"/>
  <c r="BO33" i="1" s="1"/>
  <c r="BN23" i="1"/>
  <c r="BN33" i="1" s="1"/>
  <c r="BM23" i="1"/>
  <c r="BM33" i="1" s="1"/>
  <c r="BJ23" i="1"/>
  <c r="BJ33" i="1" s="1"/>
  <c r="BA23" i="1"/>
  <c r="BF33" i="1"/>
  <c r="BG33" i="1" s="1"/>
  <c r="BI23" i="1"/>
  <c r="BI33" i="1" s="1"/>
  <c r="BG23" i="1"/>
  <c r="M34" i="1"/>
  <c r="Z24" i="1"/>
  <c r="U24" i="1"/>
  <c r="V24" i="1" s="1"/>
  <c r="N24" i="1"/>
  <c r="BH24" i="1"/>
  <c r="AB24" i="1" s="1"/>
  <c r="AC24" i="1" s="1"/>
  <c r="S24" i="1"/>
  <c r="R24" i="1"/>
  <c r="EE24" i="1"/>
  <c r="EF24" i="1" s="1"/>
  <c r="EH24" i="1" s="1"/>
  <c r="DY24" i="1"/>
  <c r="DZ24" i="1" s="1"/>
  <c r="EB24" i="1" s="1"/>
  <c r="DS24" i="1"/>
  <c r="DT24" i="1" s="1"/>
  <c r="DV24" i="1" s="1"/>
  <c r="DQ24" i="1"/>
  <c r="DJ24" i="1"/>
  <c r="DK24" i="1" s="1"/>
  <c r="DM24" i="1" s="1"/>
  <c r="DD24" i="1"/>
  <c r="DE24" i="1" s="1"/>
  <c r="DG24" i="1" s="1"/>
  <c r="CX24" i="1"/>
  <c r="CY24" i="1" s="1"/>
  <c r="DA24" i="1" s="1"/>
  <c r="CV24" i="1"/>
  <c r="CO24" i="1"/>
  <c r="CP24" i="1" s="1"/>
  <c r="CR24" i="1" s="1"/>
  <c r="CI24" i="1"/>
  <c r="CJ24" i="1" s="1"/>
  <c r="CL24" i="1" s="1"/>
  <c r="CC24" i="1"/>
  <c r="CD24" i="1" s="1"/>
  <c r="CF24" i="1" s="1"/>
  <c r="CA24" i="1"/>
  <c r="BU24" i="1"/>
  <c r="BU34" i="1" s="1"/>
  <c r="BT24" i="1"/>
  <c r="BT34" i="1" s="1"/>
  <c r="BL24" i="1"/>
  <c r="BL34" i="1" s="1"/>
  <c r="AX24" i="1"/>
  <c r="AZ24" i="1" s="1"/>
  <c r="AF24" i="1"/>
  <c r="BD24" i="1"/>
  <c r="AK24" i="1"/>
  <c r="AM24" i="1" s="1"/>
  <c r="BW24" i="1"/>
  <c r="BW34" i="1" s="1"/>
  <c r="BV24" i="1"/>
  <c r="BV34" i="1" s="1"/>
  <c r="BO24" i="1"/>
  <c r="BO34" i="1" s="1"/>
  <c r="BN24" i="1"/>
  <c r="BN34" i="1" s="1"/>
  <c r="BM24" i="1"/>
  <c r="BM34" i="1" s="1"/>
  <c r="BJ24" i="1"/>
  <c r="BJ34" i="1" s="1"/>
  <c r="BA24" i="1"/>
  <c r="BF34" i="1"/>
  <c r="BG34" i="1" s="1"/>
  <c r="BI24" i="1"/>
  <c r="BI34" i="1" s="1"/>
  <c r="BG24" i="1"/>
  <c r="BQ34" i="1"/>
  <c r="BR34" i="1"/>
  <c r="M35" i="1"/>
  <c r="Z25" i="1"/>
  <c r="U25" i="1"/>
  <c r="V25" i="1" s="1"/>
  <c r="N25" i="1"/>
  <c r="BH25" i="1"/>
  <c r="AB25" i="1" s="1"/>
  <c r="AC25" i="1" s="1"/>
  <c r="S25" i="1"/>
  <c r="R25" i="1"/>
  <c r="EE25" i="1"/>
  <c r="EF25" i="1" s="1"/>
  <c r="EH25" i="1" s="1"/>
  <c r="DY25" i="1"/>
  <c r="DZ25" i="1" s="1"/>
  <c r="EB25" i="1" s="1"/>
  <c r="DS25" i="1"/>
  <c r="DT25" i="1" s="1"/>
  <c r="DV25" i="1" s="1"/>
  <c r="DQ25" i="1"/>
  <c r="DJ25" i="1"/>
  <c r="DK25" i="1" s="1"/>
  <c r="DM25" i="1" s="1"/>
  <c r="DD25" i="1"/>
  <c r="DE25" i="1" s="1"/>
  <c r="DG25" i="1" s="1"/>
  <c r="CX25" i="1"/>
  <c r="CY25" i="1" s="1"/>
  <c r="DA25" i="1" s="1"/>
  <c r="CV25" i="1"/>
  <c r="CO25" i="1"/>
  <c r="CP25" i="1" s="1"/>
  <c r="CR25" i="1" s="1"/>
  <c r="CI25" i="1"/>
  <c r="CJ25" i="1" s="1"/>
  <c r="CL25" i="1" s="1"/>
  <c r="CC25" i="1"/>
  <c r="CD25" i="1" s="1"/>
  <c r="CF25" i="1" s="1"/>
  <c r="CA25" i="1"/>
  <c r="BU25" i="1"/>
  <c r="BU35" i="1" s="1"/>
  <c r="BT25" i="1"/>
  <c r="BT35" i="1" s="1"/>
  <c r="BL25" i="1"/>
  <c r="BL35" i="1" s="1"/>
  <c r="AX25" i="1"/>
  <c r="AZ25" i="1" s="1"/>
  <c r="AF25" i="1"/>
  <c r="BD25" i="1"/>
  <c r="AK25" i="1"/>
  <c r="AM25" i="1" s="1"/>
  <c r="BW25" i="1"/>
  <c r="BW35" i="1" s="1"/>
  <c r="BV25" i="1"/>
  <c r="BV35" i="1" s="1"/>
  <c r="BO25" i="1"/>
  <c r="BO35" i="1" s="1"/>
  <c r="BN25" i="1"/>
  <c r="BN35" i="1" s="1"/>
  <c r="BM25" i="1"/>
  <c r="BM35" i="1" s="1"/>
  <c r="BJ25" i="1"/>
  <c r="BJ35" i="1" s="1"/>
  <c r="BA25" i="1"/>
  <c r="BF35" i="1"/>
  <c r="BG35" i="1" s="1"/>
  <c r="BI25" i="1"/>
  <c r="BI35" i="1" s="1"/>
  <c r="BG25" i="1"/>
  <c r="BQ35" i="1"/>
  <c r="BR35" i="1"/>
  <c r="L36" i="1"/>
  <c r="AH26" i="1"/>
  <c r="AD26" i="1"/>
  <c r="Z26" i="1"/>
  <c r="U26" i="1"/>
  <c r="V26" i="1" s="1"/>
  <c r="Q26" i="1"/>
  <c r="N26" i="1"/>
  <c r="AI38" i="1"/>
  <c r="AI37" i="1"/>
  <c r="AI36" i="1"/>
  <c r="AJ38" i="1"/>
  <c r="AJ37" i="1"/>
  <c r="AJ36" i="1"/>
  <c r="AL38" i="1"/>
  <c r="AL36" i="1"/>
  <c r="AY38" i="1"/>
  <c r="AE38" i="1" s="1"/>
  <c r="AY37" i="1"/>
  <c r="AE37" i="1" s="1"/>
  <c r="AY36" i="1"/>
  <c r="AE36" i="1" s="1"/>
  <c r="BW26" i="1"/>
  <c r="BW36" i="1" s="1"/>
  <c r="BV26" i="1"/>
  <c r="BV36" i="1" s="1"/>
  <c r="BO26" i="1"/>
  <c r="BO36" i="1" s="1"/>
  <c r="BN26" i="1"/>
  <c r="BN36" i="1" s="1"/>
  <c r="BM26" i="1"/>
  <c r="BM36" i="1" s="1"/>
  <c r="BJ26" i="1"/>
  <c r="BJ36" i="1" s="1"/>
  <c r="BA26" i="1"/>
  <c r="BF36" i="1"/>
  <c r="BI26" i="1"/>
  <c r="BI36" i="1" s="1"/>
  <c r="L37" i="1"/>
  <c r="AH27" i="1"/>
  <c r="AD27" i="1"/>
  <c r="Z27" i="1"/>
  <c r="U27" i="1"/>
  <c r="V27" i="1" s="1"/>
  <c r="Q27" i="1"/>
  <c r="N27" i="1"/>
  <c r="M37" i="1"/>
  <c r="AL37" i="1"/>
  <c r="BW27" i="1"/>
  <c r="BW37" i="1" s="1"/>
  <c r="BV27" i="1"/>
  <c r="BV37" i="1" s="1"/>
  <c r="BO27" i="1"/>
  <c r="BO37" i="1" s="1"/>
  <c r="BN27" i="1"/>
  <c r="BN37" i="1" s="1"/>
  <c r="BM27" i="1"/>
  <c r="BM37" i="1" s="1"/>
  <c r="BJ27" i="1"/>
  <c r="BJ37" i="1" s="1"/>
  <c r="BA27" i="1"/>
  <c r="BF37" i="1"/>
  <c r="BI27" i="1"/>
  <c r="BI37" i="1" s="1"/>
  <c r="BQ37" i="1"/>
  <c r="BR37" i="1"/>
  <c r="L38" i="1"/>
  <c r="AH28" i="1"/>
  <c r="AD28" i="1"/>
  <c r="Z28" i="1"/>
  <c r="U28" i="1"/>
  <c r="V28" i="1" s="1"/>
  <c r="Q28" i="1"/>
  <c r="N28" i="1"/>
  <c r="M38" i="1"/>
  <c r="BW28" i="1"/>
  <c r="BW38" i="1" s="1"/>
  <c r="BV28" i="1"/>
  <c r="BV38" i="1" s="1"/>
  <c r="BO28" i="1"/>
  <c r="BO38" i="1" s="1"/>
  <c r="BN28" i="1"/>
  <c r="BN38" i="1" s="1"/>
  <c r="BM28" i="1"/>
  <c r="BM38" i="1" s="1"/>
  <c r="BJ28" i="1"/>
  <c r="BJ38" i="1" s="1"/>
  <c r="BA28" i="1"/>
  <c r="BF38" i="1"/>
  <c r="BI28" i="1"/>
  <c r="BI38" i="1" s="1"/>
  <c r="BQ38" i="1"/>
  <c r="BR38" i="1"/>
  <c r="L39" i="1"/>
  <c r="AH29" i="1"/>
  <c r="AD29" i="1"/>
  <c r="Z29" i="1"/>
  <c r="U29" i="1"/>
  <c r="V29" i="1" s="1"/>
  <c r="Q29" i="1"/>
  <c r="N29" i="1"/>
  <c r="AI41" i="1"/>
  <c r="AI40" i="1"/>
  <c r="AI39" i="1"/>
  <c r="AJ41" i="1"/>
  <c r="AJ40" i="1"/>
  <c r="AJ39" i="1"/>
  <c r="AL41" i="1"/>
  <c r="AL40" i="1"/>
  <c r="AL39" i="1"/>
  <c r="AP41" i="1"/>
  <c r="AP40" i="1"/>
  <c r="AP39" i="1"/>
  <c r="AQ29" i="1"/>
  <c r="AY41" i="1"/>
  <c r="AE41" i="1" s="1"/>
  <c r="AY39" i="1"/>
  <c r="AE39" i="1" s="1"/>
  <c r="BW29" i="1"/>
  <c r="BW39" i="1" s="1"/>
  <c r="BV29" i="1"/>
  <c r="BV39" i="1" s="1"/>
  <c r="BO29" i="1"/>
  <c r="BO39" i="1" s="1"/>
  <c r="BN29" i="1"/>
  <c r="BN39" i="1" s="1"/>
  <c r="BM29" i="1"/>
  <c r="BM39" i="1" s="1"/>
  <c r="BJ29" i="1"/>
  <c r="BJ39" i="1" s="1"/>
  <c r="BA29" i="1"/>
  <c r="BF39" i="1"/>
  <c r="BI29" i="1"/>
  <c r="BI39" i="1" s="1"/>
  <c r="L40" i="1"/>
  <c r="AH30" i="1"/>
  <c r="AD30" i="1"/>
  <c r="Z30" i="1"/>
  <c r="U30" i="1"/>
  <c r="V30" i="1" s="1"/>
  <c r="Q30" i="1"/>
  <c r="N30" i="1"/>
  <c r="M40" i="1"/>
  <c r="AY40" i="1"/>
  <c r="AE40" i="1" s="1"/>
  <c r="BW30" i="1"/>
  <c r="BW40" i="1" s="1"/>
  <c r="BV30" i="1"/>
  <c r="BV40" i="1" s="1"/>
  <c r="BO30" i="1"/>
  <c r="BO40" i="1" s="1"/>
  <c r="BN30" i="1"/>
  <c r="BN40" i="1" s="1"/>
  <c r="BM30" i="1"/>
  <c r="BM40" i="1" s="1"/>
  <c r="BJ30" i="1"/>
  <c r="BJ40" i="1" s="1"/>
  <c r="BA30" i="1"/>
  <c r="BF40" i="1"/>
  <c r="BI30" i="1"/>
  <c r="BI40" i="1" s="1"/>
  <c r="BQ40" i="1"/>
  <c r="BR40" i="1"/>
  <c r="L41" i="1"/>
  <c r="AH31" i="1"/>
  <c r="AD31" i="1"/>
  <c r="Z31" i="1"/>
  <c r="U31" i="1"/>
  <c r="V31" i="1" s="1"/>
  <c r="Q31" i="1"/>
  <c r="N31" i="1"/>
  <c r="M41" i="1"/>
  <c r="BW31" i="1"/>
  <c r="BW41" i="1" s="1"/>
  <c r="BV31" i="1"/>
  <c r="BV41" i="1" s="1"/>
  <c r="BO31" i="1"/>
  <c r="BO41" i="1" s="1"/>
  <c r="BN31" i="1"/>
  <c r="BN41" i="1" s="1"/>
  <c r="BM31" i="1"/>
  <c r="BM41" i="1" s="1"/>
  <c r="BJ31" i="1"/>
  <c r="BJ41" i="1" s="1"/>
  <c r="BA31" i="1"/>
  <c r="BF41" i="1"/>
  <c r="BI31" i="1"/>
  <c r="BI41" i="1" s="1"/>
  <c r="BQ41" i="1"/>
  <c r="BR41" i="1"/>
  <c r="BA33" i="1"/>
  <c r="AH33" i="1"/>
  <c r="BD33" i="1" s="1"/>
  <c r="AD33" i="1"/>
  <c r="Z33" i="1"/>
  <c r="U33" i="1"/>
  <c r="V33" i="1" s="1"/>
  <c r="N33" i="1"/>
  <c r="BA34" i="1"/>
  <c r="AH34" i="1"/>
  <c r="AD34" i="1"/>
  <c r="Z34" i="1"/>
  <c r="U34" i="1"/>
  <c r="V34" i="1" s="1"/>
  <c r="N34" i="1"/>
  <c r="BA35" i="1"/>
  <c r="AH35" i="1"/>
  <c r="AD35" i="1"/>
  <c r="Z35" i="1"/>
  <c r="U35" i="1"/>
  <c r="V35" i="1" s="1"/>
  <c r="N35" i="1"/>
  <c r="BA36" i="1"/>
  <c r="BA37" i="1"/>
  <c r="BA38" i="1"/>
  <c r="BA39" i="1"/>
  <c r="AQ39" i="1"/>
  <c r="BA40" i="1"/>
  <c r="AQ40" i="1"/>
  <c r="BA41" i="1"/>
  <c r="AQ41" i="1"/>
  <c r="L53" i="1"/>
  <c r="AH43" i="1"/>
  <c r="AD43" i="1"/>
  <c r="Q43" i="1"/>
  <c r="AI55" i="1"/>
  <c r="AI54" i="1"/>
  <c r="AI53" i="1"/>
  <c r="AJ55" i="1"/>
  <c r="AJ54" i="1"/>
  <c r="AJ53" i="1"/>
  <c r="AL55" i="1"/>
  <c r="AL54" i="1"/>
  <c r="AL53" i="1"/>
  <c r="AP55" i="1"/>
  <c r="AP54" i="1"/>
  <c r="AP53" i="1"/>
  <c r="AQ43" i="1"/>
  <c r="BF53" i="1"/>
  <c r="BI43" i="1"/>
  <c r="BI53" i="1" s="1"/>
  <c r="L54" i="1"/>
  <c r="AH44" i="1"/>
  <c r="AD44" i="1"/>
  <c r="Q44" i="1"/>
  <c r="BF54" i="1"/>
  <c r="BI44" i="1"/>
  <c r="BI54" i="1" s="1"/>
  <c r="BQ54" i="1"/>
  <c r="BR54" i="1"/>
  <c r="L55" i="1"/>
  <c r="AH45" i="1"/>
  <c r="AD45" i="1"/>
  <c r="Q45" i="1"/>
  <c r="BF55" i="1"/>
  <c r="BI45" i="1"/>
  <c r="BI55" i="1" s="1"/>
  <c r="BQ55" i="1"/>
  <c r="BR55" i="1"/>
  <c r="Q56" i="1"/>
  <c r="BH46" i="1"/>
  <c r="AB46" i="1" s="1"/>
  <c r="AC46" i="1" s="1"/>
  <c r="S46" i="1"/>
  <c r="R46" i="1"/>
  <c r="EE46" i="1"/>
  <c r="EF46" i="1" s="1"/>
  <c r="EH46" i="1" s="1"/>
  <c r="DY46" i="1"/>
  <c r="DZ46" i="1" s="1"/>
  <c r="EB46" i="1" s="1"/>
  <c r="DS46" i="1"/>
  <c r="DT46" i="1" s="1"/>
  <c r="DV46" i="1" s="1"/>
  <c r="DQ46" i="1"/>
  <c r="DJ46" i="1"/>
  <c r="DK46" i="1" s="1"/>
  <c r="DM46" i="1" s="1"/>
  <c r="DD46" i="1"/>
  <c r="DE46" i="1" s="1"/>
  <c r="DG46" i="1" s="1"/>
  <c r="CX46" i="1"/>
  <c r="CY46" i="1" s="1"/>
  <c r="DA46" i="1" s="1"/>
  <c r="CV46" i="1"/>
  <c r="CO46" i="1"/>
  <c r="CP46" i="1" s="1"/>
  <c r="CR46" i="1" s="1"/>
  <c r="CI46" i="1"/>
  <c r="CJ46" i="1" s="1"/>
  <c r="CL46" i="1" s="1"/>
  <c r="CC46" i="1"/>
  <c r="CD46" i="1" s="1"/>
  <c r="CF46" i="1" s="1"/>
  <c r="CA46" i="1"/>
  <c r="BU46" i="1"/>
  <c r="BU56" i="1" s="1"/>
  <c r="BT46" i="1"/>
  <c r="BT56" i="1" s="1"/>
  <c r="BL46" i="1"/>
  <c r="BL56" i="1" s="1"/>
  <c r="AY46" i="1"/>
  <c r="AX46" i="1"/>
  <c r="BD46" i="1"/>
  <c r="AK46" i="1"/>
  <c r="AM46" i="1" s="1"/>
  <c r="AI58" i="1"/>
  <c r="AI57" i="1"/>
  <c r="AI56" i="1"/>
  <c r="AJ58" i="1"/>
  <c r="AJ57" i="1"/>
  <c r="AJ56" i="1"/>
  <c r="AL58" i="1"/>
  <c r="AL56" i="1"/>
  <c r="AP58" i="1"/>
  <c r="AP57" i="1"/>
  <c r="AP56" i="1"/>
  <c r="AQ46" i="1"/>
  <c r="BF56" i="1"/>
  <c r="BI46" i="1"/>
  <c r="BI56" i="1" s="1"/>
  <c r="BH47" i="1"/>
  <c r="AB47" i="1" s="1"/>
  <c r="AC47" i="1" s="1"/>
  <c r="S47" i="1"/>
  <c r="R47" i="1"/>
  <c r="EE47" i="1"/>
  <c r="EF47" i="1" s="1"/>
  <c r="EH47" i="1" s="1"/>
  <c r="DY47" i="1"/>
  <c r="DZ47" i="1" s="1"/>
  <c r="EB47" i="1" s="1"/>
  <c r="DS47" i="1"/>
  <c r="DT47" i="1" s="1"/>
  <c r="DV47" i="1" s="1"/>
  <c r="DQ47" i="1"/>
  <c r="DJ47" i="1"/>
  <c r="DK47" i="1" s="1"/>
  <c r="DM47" i="1" s="1"/>
  <c r="DD47" i="1"/>
  <c r="DE47" i="1" s="1"/>
  <c r="DG47" i="1" s="1"/>
  <c r="CX47" i="1"/>
  <c r="CY47" i="1" s="1"/>
  <c r="DA47" i="1" s="1"/>
  <c r="CV47" i="1"/>
  <c r="CO47" i="1"/>
  <c r="CP47" i="1" s="1"/>
  <c r="CR47" i="1" s="1"/>
  <c r="CI47" i="1"/>
  <c r="CJ47" i="1" s="1"/>
  <c r="CL47" i="1" s="1"/>
  <c r="CC47" i="1"/>
  <c r="CD47" i="1" s="1"/>
  <c r="CF47" i="1" s="1"/>
  <c r="CA47" i="1"/>
  <c r="BU47" i="1"/>
  <c r="BU57" i="1" s="1"/>
  <c r="BT47" i="1"/>
  <c r="BT57" i="1" s="1"/>
  <c r="BL47" i="1"/>
  <c r="BL57" i="1" s="1"/>
  <c r="AY47" i="1"/>
  <c r="AX47" i="1"/>
  <c r="AZ47" i="1" s="1"/>
  <c r="BD47" i="1"/>
  <c r="AK47" i="1"/>
  <c r="AM47" i="1" s="1"/>
  <c r="AL57" i="1"/>
  <c r="BF57" i="1"/>
  <c r="BI47" i="1"/>
  <c r="BI57" i="1" s="1"/>
  <c r="BQ57" i="1"/>
  <c r="BR57" i="1"/>
  <c r="BH48" i="1"/>
  <c r="AB48" i="1" s="1"/>
  <c r="AC48" i="1" s="1"/>
  <c r="S48" i="1"/>
  <c r="R48" i="1"/>
  <c r="EE48" i="1"/>
  <c r="EF48" i="1" s="1"/>
  <c r="EH48" i="1" s="1"/>
  <c r="DY48" i="1"/>
  <c r="DZ48" i="1" s="1"/>
  <c r="EB48" i="1" s="1"/>
  <c r="DS48" i="1"/>
  <c r="DT48" i="1" s="1"/>
  <c r="DV48" i="1" s="1"/>
  <c r="DQ48" i="1"/>
  <c r="DJ48" i="1"/>
  <c r="DK48" i="1" s="1"/>
  <c r="DM48" i="1" s="1"/>
  <c r="DD48" i="1"/>
  <c r="DE48" i="1" s="1"/>
  <c r="DG48" i="1" s="1"/>
  <c r="CX48" i="1"/>
  <c r="CY48" i="1" s="1"/>
  <c r="DA48" i="1" s="1"/>
  <c r="CV48" i="1"/>
  <c r="CO48" i="1"/>
  <c r="CP48" i="1" s="1"/>
  <c r="CR48" i="1" s="1"/>
  <c r="CI48" i="1"/>
  <c r="CJ48" i="1" s="1"/>
  <c r="CL48" i="1" s="1"/>
  <c r="CC48" i="1"/>
  <c r="CD48" i="1" s="1"/>
  <c r="CF48" i="1" s="1"/>
  <c r="CA48" i="1"/>
  <c r="BU48" i="1"/>
  <c r="BU58" i="1" s="1"/>
  <c r="BT48" i="1"/>
  <c r="BT58" i="1" s="1"/>
  <c r="BL48" i="1"/>
  <c r="BL58" i="1" s="1"/>
  <c r="AY48" i="1"/>
  <c r="AX48" i="1"/>
  <c r="AZ48" i="1" s="1"/>
  <c r="BD48" i="1"/>
  <c r="AK48" i="1"/>
  <c r="AM48" i="1" s="1"/>
  <c r="BF58" i="1"/>
  <c r="BI48" i="1"/>
  <c r="BI58" i="1" s="1"/>
  <c r="BQ58" i="1"/>
  <c r="BR58" i="1"/>
  <c r="L59" i="1"/>
  <c r="AH49" i="1"/>
  <c r="AD49" i="1"/>
  <c r="Q49" i="1"/>
  <c r="AI61" i="1"/>
  <c r="AI60" i="1"/>
  <c r="AI59" i="1"/>
  <c r="AJ61" i="1"/>
  <c r="AJ60" i="1"/>
  <c r="AJ59" i="1"/>
  <c r="AL61" i="1"/>
  <c r="AL60" i="1"/>
  <c r="AL59" i="1"/>
  <c r="AP61" i="1"/>
  <c r="AP60" i="1"/>
  <c r="AP59" i="1"/>
  <c r="AQ49" i="1"/>
  <c r="BF59" i="1"/>
  <c r="BI49" i="1"/>
  <c r="BI59" i="1" s="1"/>
  <c r="L60" i="1"/>
  <c r="AH50" i="1"/>
  <c r="AD50" i="1"/>
  <c r="Q50" i="1"/>
  <c r="BF60" i="1"/>
  <c r="BI50" i="1"/>
  <c r="BI60" i="1" s="1"/>
  <c r="BQ60" i="1"/>
  <c r="BR60" i="1"/>
  <c r="L61" i="1"/>
  <c r="AH51" i="1"/>
  <c r="AD51" i="1"/>
  <c r="Q51" i="1"/>
  <c r="BF61" i="1"/>
  <c r="BI51" i="1"/>
  <c r="BI61" i="1" s="1"/>
  <c r="BQ61" i="1"/>
  <c r="BR61" i="1"/>
  <c r="AQ53" i="1"/>
  <c r="AQ54" i="1"/>
  <c r="AQ55" i="1"/>
  <c r="AH56" i="1"/>
  <c r="AD56" i="1"/>
  <c r="AQ56" i="1"/>
  <c r="AH57" i="1"/>
  <c r="AD57" i="1"/>
  <c r="AQ57" i="1"/>
  <c r="AH58" i="1"/>
  <c r="AD58" i="1"/>
  <c r="AQ58" i="1"/>
  <c r="AQ59" i="1"/>
  <c r="AQ60" i="1"/>
  <c r="AQ61" i="1"/>
  <c r="L73" i="1"/>
  <c r="AH63" i="1"/>
  <c r="AD63" i="1"/>
  <c r="Z63" i="1"/>
  <c r="U63" i="1"/>
  <c r="V63" i="1" s="1"/>
  <c r="N63" i="1"/>
  <c r="AJ75" i="1"/>
  <c r="AJ74" i="1"/>
  <c r="AJ73" i="1"/>
  <c r="AL75" i="1"/>
  <c r="AL74" i="1"/>
  <c r="AL73" i="1"/>
  <c r="AP75" i="1"/>
  <c r="AP74" i="1"/>
  <c r="AP73" i="1"/>
  <c r="AQ63" i="1"/>
  <c r="BF73" i="1"/>
  <c r="BI63" i="1"/>
  <c r="BI73" i="1" s="1"/>
  <c r="L74" i="1"/>
  <c r="AH64" i="1"/>
  <c r="AD64" i="1"/>
  <c r="Z64" i="1"/>
  <c r="U64" i="1"/>
  <c r="V64" i="1" s="1"/>
  <c r="N64" i="1"/>
  <c r="BF74" i="1"/>
  <c r="BI64" i="1"/>
  <c r="BI74" i="1" s="1"/>
  <c r="BQ74" i="1"/>
  <c r="BR74" i="1"/>
  <c r="BY74" i="1"/>
  <c r="L75" i="1"/>
  <c r="AH65" i="1"/>
  <c r="AD65" i="1"/>
  <c r="Z65" i="1"/>
  <c r="U65" i="1"/>
  <c r="V65" i="1" s="1"/>
  <c r="N65" i="1"/>
  <c r="BF75" i="1"/>
  <c r="BI65" i="1"/>
  <c r="BI75" i="1" s="1"/>
  <c r="BQ75" i="1"/>
  <c r="BR75" i="1"/>
  <c r="BY75" i="1"/>
  <c r="L76" i="1"/>
  <c r="AH66" i="1"/>
  <c r="AD66" i="1"/>
  <c r="Z66" i="1"/>
  <c r="U66" i="1"/>
  <c r="V66" i="1" s="1"/>
  <c r="N66" i="1"/>
  <c r="AJ78" i="1"/>
  <c r="AJ77" i="1"/>
  <c r="AJ76" i="1"/>
  <c r="AL78" i="1"/>
  <c r="AL76" i="1"/>
  <c r="AP78" i="1"/>
  <c r="AP77" i="1"/>
  <c r="AP76" i="1"/>
  <c r="AQ66" i="1"/>
  <c r="BF76" i="1"/>
  <c r="BI66" i="1"/>
  <c r="BI76" i="1" s="1"/>
  <c r="L77" i="1"/>
  <c r="AH67" i="1"/>
  <c r="AD67" i="1"/>
  <c r="Z67" i="1"/>
  <c r="U67" i="1"/>
  <c r="V67" i="1" s="1"/>
  <c r="N67" i="1"/>
  <c r="AL77" i="1"/>
  <c r="BF77" i="1"/>
  <c r="BI67" i="1"/>
  <c r="BI77" i="1" s="1"/>
  <c r="BQ77" i="1"/>
  <c r="BR77" i="1"/>
  <c r="BY77" i="1"/>
  <c r="L78" i="1"/>
  <c r="AH68" i="1"/>
  <c r="AD68" i="1"/>
  <c r="Z68" i="1"/>
  <c r="U68" i="1"/>
  <c r="V68" i="1" s="1"/>
  <c r="N68" i="1"/>
  <c r="BF78" i="1"/>
  <c r="BI68" i="1"/>
  <c r="BI78" i="1" s="1"/>
  <c r="BQ78" i="1"/>
  <c r="BR78" i="1"/>
  <c r="BY78" i="1"/>
  <c r="L79" i="1"/>
  <c r="AH69" i="1"/>
  <c r="AD69" i="1"/>
  <c r="Z69" i="1"/>
  <c r="U69" i="1"/>
  <c r="V69" i="1" s="1"/>
  <c r="N69" i="1"/>
  <c r="AJ81" i="1"/>
  <c r="AJ80" i="1"/>
  <c r="AJ79" i="1"/>
  <c r="AL81" i="1"/>
  <c r="AL80" i="1"/>
  <c r="AL79" i="1"/>
  <c r="AP81" i="1"/>
  <c r="AP80" i="1"/>
  <c r="AP79" i="1"/>
  <c r="AQ69" i="1"/>
  <c r="BF79" i="1"/>
  <c r="BI69" i="1"/>
  <c r="BI79" i="1" s="1"/>
  <c r="BQ79" i="1"/>
  <c r="BY69" i="1"/>
  <c r="BY79" i="1" s="1"/>
  <c r="L80" i="1"/>
  <c r="AH70" i="1"/>
  <c r="AD70" i="1"/>
  <c r="Z70" i="1"/>
  <c r="U70" i="1"/>
  <c r="V70" i="1" s="1"/>
  <c r="N70" i="1"/>
  <c r="BF80" i="1"/>
  <c r="BI70" i="1"/>
  <c r="BI80" i="1" s="1"/>
  <c r="BQ80" i="1"/>
  <c r="BY70" i="1"/>
  <c r="BY80" i="1" s="1"/>
  <c r="BR80" i="1"/>
  <c r="L81" i="1"/>
  <c r="AH71" i="1"/>
  <c r="AD71" i="1"/>
  <c r="Z71" i="1"/>
  <c r="U71" i="1"/>
  <c r="V71" i="1" s="1"/>
  <c r="N71" i="1"/>
  <c r="BF81" i="1"/>
  <c r="BI71" i="1"/>
  <c r="BI81" i="1" s="1"/>
  <c r="BQ81" i="1"/>
  <c r="BY71" i="1"/>
  <c r="BY81" i="1" s="1"/>
  <c r="BR81" i="1"/>
  <c r="AQ73" i="1"/>
  <c r="AQ74" i="1"/>
  <c r="AQ75" i="1"/>
  <c r="AQ76" i="1"/>
  <c r="AQ77" i="1"/>
  <c r="AQ78" i="1"/>
  <c r="AQ79" i="1"/>
  <c r="AQ80" i="1"/>
  <c r="AQ81" i="1"/>
  <c r="L93" i="1"/>
  <c r="AH83" i="1"/>
  <c r="AD83" i="1"/>
  <c r="Z83" i="1"/>
  <c r="U83" i="1"/>
  <c r="V83" i="1" s="1"/>
  <c r="N83" i="1"/>
  <c r="AI95" i="1"/>
  <c r="AI94" i="1"/>
  <c r="AI93" i="1"/>
  <c r="AJ95" i="1"/>
  <c r="AJ94" i="1"/>
  <c r="AJ93" i="1"/>
  <c r="AP95" i="1"/>
  <c r="AP94" i="1"/>
  <c r="AP93" i="1"/>
  <c r="AQ83" i="1"/>
  <c r="BF93" i="1"/>
  <c r="BI83" i="1"/>
  <c r="BI93" i="1" s="1"/>
  <c r="L94" i="1"/>
  <c r="AH84" i="1"/>
  <c r="AD84" i="1"/>
  <c r="Z84" i="1"/>
  <c r="U84" i="1"/>
  <c r="V84" i="1" s="1"/>
  <c r="N84" i="1"/>
  <c r="BF94" i="1"/>
  <c r="BI84" i="1"/>
  <c r="BI94" i="1" s="1"/>
  <c r="BQ94" i="1"/>
  <c r="BR94" i="1"/>
  <c r="BY94" i="1"/>
  <c r="L95" i="1"/>
  <c r="AH85" i="1"/>
  <c r="AD85" i="1"/>
  <c r="Z85" i="1"/>
  <c r="U85" i="1"/>
  <c r="V85" i="1" s="1"/>
  <c r="N85" i="1"/>
  <c r="BF95" i="1"/>
  <c r="BI85" i="1"/>
  <c r="BI95" i="1" s="1"/>
  <c r="BQ95" i="1"/>
  <c r="BR95" i="1"/>
  <c r="BY95" i="1"/>
  <c r="L96" i="1"/>
  <c r="AH86" i="1"/>
  <c r="AD86" i="1"/>
  <c r="Z86" i="1"/>
  <c r="U86" i="1"/>
  <c r="V86" i="1" s="1"/>
  <c r="N86" i="1"/>
  <c r="AI98" i="1"/>
  <c r="AI97" i="1"/>
  <c r="AI96" i="1"/>
  <c r="AJ98" i="1"/>
  <c r="AJ97" i="1"/>
  <c r="AJ96" i="1"/>
  <c r="AL98" i="1"/>
  <c r="AL96" i="1"/>
  <c r="AP98" i="1"/>
  <c r="AP97" i="1"/>
  <c r="AP96" i="1"/>
  <c r="AQ86" i="1"/>
  <c r="BF96" i="1"/>
  <c r="BI86" i="1"/>
  <c r="BI96" i="1" s="1"/>
  <c r="L97" i="1"/>
  <c r="AH87" i="1"/>
  <c r="AD87" i="1"/>
  <c r="Z87" i="1"/>
  <c r="N87" i="1"/>
  <c r="AL97" i="1"/>
  <c r="BF97" i="1"/>
  <c r="BI87" i="1"/>
  <c r="BI97" i="1" s="1"/>
  <c r="BQ97" i="1"/>
  <c r="BR97" i="1"/>
  <c r="BY97" i="1"/>
  <c r="L98" i="1"/>
  <c r="AH88" i="1"/>
  <c r="AD88" i="1"/>
  <c r="Z88" i="1"/>
  <c r="U88" i="1"/>
  <c r="V88" i="1" s="1"/>
  <c r="N88" i="1"/>
  <c r="BF98" i="1"/>
  <c r="BI88" i="1"/>
  <c r="BI98" i="1" s="1"/>
  <c r="BQ98" i="1"/>
  <c r="BR98" i="1"/>
  <c r="BY98" i="1"/>
  <c r="L99" i="1"/>
  <c r="AH89" i="1"/>
  <c r="AD89" i="1"/>
  <c r="Z89" i="1"/>
  <c r="U89" i="1"/>
  <c r="V89" i="1" s="1"/>
  <c r="N89" i="1"/>
  <c r="AI101" i="1"/>
  <c r="AI100" i="1"/>
  <c r="AI99" i="1"/>
  <c r="AJ101" i="1"/>
  <c r="AJ100" i="1"/>
  <c r="AJ99" i="1"/>
  <c r="AL101" i="1"/>
  <c r="AL100" i="1"/>
  <c r="AL99" i="1"/>
  <c r="AP101" i="1"/>
  <c r="AP100" i="1"/>
  <c r="AP99" i="1"/>
  <c r="AQ89" i="1"/>
  <c r="BF99" i="1"/>
  <c r="BI89" i="1"/>
  <c r="BI99" i="1" s="1"/>
  <c r="L100" i="1"/>
  <c r="AH90" i="1"/>
  <c r="AD90" i="1"/>
  <c r="Z90" i="1"/>
  <c r="U90" i="1"/>
  <c r="V90" i="1" s="1"/>
  <c r="N90" i="1"/>
  <c r="BF100" i="1"/>
  <c r="BI90" i="1"/>
  <c r="BI100" i="1" s="1"/>
  <c r="BQ100" i="1"/>
  <c r="BR100" i="1"/>
  <c r="BY100" i="1"/>
  <c r="L101" i="1"/>
  <c r="AH91" i="1"/>
  <c r="AD91" i="1"/>
  <c r="Z91" i="1"/>
  <c r="U91" i="1"/>
  <c r="V91" i="1" s="1"/>
  <c r="N91" i="1"/>
  <c r="BF101" i="1"/>
  <c r="BI91" i="1"/>
  <c r="BI101" i="1" s="1"/>
  <c r="BQ101" i="1"/>
  <c r="BR101" i="1"/>
  <c r="BY101" i="1"/>
  <c r="AQ93" i="1"/>
  <c r="AQ94" i="1"/>
  <c r="AQ95" i="1"/>
  <c r="AQ96" i="1"/>
  <c r="AQ97" i="1"/>
  <c r="AQ98" i="1"/>
  <c r="AQ99" i="1"/>
  <c r="AQ100" i="1"/>
  <c r="AQ101" i="1"/>
  <c r="L113" i="1"/>
  <c r="AH103" i="1"/>
  <c r="AD103" i="1"/>
  <c r="Z103" i="1"/>
  <c r="U103" i="1"/>
  <c r="V103" i="1" s="1"/>
  <c r="N103" i="1"/>
  <c r="AJ115" i="1"/>
  <c r="AJ114" i="1"/>
  <c r="AJ113" i="1"/>
  <c r="AL115" i="1"/>
  <c r="AL114" i="1"/>
  <c r="AL113" i="1"/>
  <c r="AP115" i="1"/>
  <c r="AP114" i="1"/>
  <c r="AP113" i="1"/>
  <c r="AQ103" i="1"/>
  <c r="BF113" i="1"/>
  <c r="BI103" i="1"/>
  <c r="BI113" i="1" s="1"/>
  <c r="L114" i="1"/>
  <c r="AH104" i="1"/>
  <c r="AD104" i="1"/>
  <c r="Z104" i="1"/>
  <c r="U104" i="1"/>
  <c r="V104" i="1" s="1"/>
  <c r="N104" i="1"/>
  <c r="BF114" i="1"/>
  <c r="BI104" i="1"/>
  <c r="BI114" i="1" s="1"/>
  <c r="BQ114" i="1"/>
  <c r="BR114" i="1"/>
  <c r="BY114" i="1"/>
  <c r="L115" i="1"/>
  <c r="AH105" i="1"/>
  <c r="AD105" i="1"/>
  <c r="Z105" i="1"/>
  <c r="U105" i="1"/>
  <c r="V105" i="1" s="1"/>
  <c r="N105" i="1"/>
  <c r="BF115" i="1"/>
  <c r="BI105" i="1"/>
  <c r="BI115" i="1" s="1"/>
  <c r="BQ115" i="1"/>
  <c r="BR115" i="1"/>
  <c r="BY115" i="1"/>
  <c r="L116" i="1"/>
  <c r="AH106" i="1"/>
  <c r="AD106" i="1"/>
  <c r="Z106" i="1"/>
  <c r="U106" i="1"/>
  <c r="V106" i="1" s="1"/>
  <c r="N106" i="1"/>
  <c r="AJ118" i="1"/>
  <c r="AJ117" i="1"/>
  <c r="AJ116" i="1"/>
  <c r="AP118" i="1"/>
  <c r="AP117" i="1"/>
  <c r="AP116" i="1"/>
  <c r="AQ106" i="1"/>
  <c r="BF116" i="1"/>
  <c r="BI106" i="1"/>
  <c r="BI116" i="1" s="1"/>
  <c r="BQ116" i="1"/>
  <c r="BY106" i="1"/>
  <c r="BY116" i="1" s="1"/>
  <c r="L117" i="1"/>
  <c r="AH107" i="1"/>
  <c r="AD107" i="1"/>
  <c r="Z107" i="1"/>
  <c r="N107" i="1"/>
  <c r="BF117" i="1"/>
  <c r="BI107" i="1"/>
  <c r="BI117" i="1" s="1"/>
  <c r="BQ117" i="1"/>
  <c r="BY107" i="1"/>
  <c r="BY117" i="1" s="1"/>
  <c r="BR117" i="1"/>
  <c r="L118" i="1"/>
  <c r="AH108" i="1"/>
  <c r="AD108" i="1"/>
  <c r="Z108" i="1"/>
  <c r="U108" i="1"/>
  <c r="V108" i="1" s="1"/>
  <c r="N108" i="1"/>
  <c r="BF118" i="1"/>
  <c r="BI108" i="1"/>
  <c r="BI118" i="1" s="1"/>
  <c r="BQ118" i="1"/>
  <c r="BY108" i="1"/>
  <c r="BY118" i="1" s="1"/>
  <c r="BR118" i="1"/>
  <c r="L119" i="1"/>
  <c r="AH109" i="1"/>
  <c r="AD109" i="1"/>
  <c r="Z109" i="1"/>
  <c r="U109" i="1"/>
  <c r="V109" i="1" s="1"/>
  <c r="N109" i="1"/>
  <c r="AP121" i="1"/>
  <c r="AP120" i="1"/>
  <c r="AP119" i="1"/>
  <c r="AQ109" i="1"/>
  <c r="BF119" i="1"/>
  <c r="BI109" i="1"/>
  <c r="BI119" i="1" s="1"/>
  <c r="BQ119" i="1"/>
  <c r="BY109" i="1"/>
  <c r="BY119" i="1" s="1"/>
  <c r="L120" i="1"/>
  <c r="AH110" i="1"/>
  <c r="AD110" i="1"/>
  <c r="Z110" i="1"/>
  <c r="U110" i="1"/>
  <c r="V110" i="1" s="1"/>
  <c r="N110" i="1"/>
  <c r="BF120" i="1"/>
  <c r="BI110" i="1"/>
  <c r="BI120" i="1" s="1"/>
  <c r="BQ120" i="1"/>
  <c r="BY110" i="1"/>
  <c r="BY120" i="1" s="1"/>
  <c r="BR120" i="1"/>
  <c r="L121" i="1"/>
  <c r="AH111" i="1"/>
  <c r="AD111" i="1"/>
  <c r="Z111" i="1"/>
  <c r="U111" i="1"/>
  <c r="V111" i="1" s="1"/>
  <c r="N111" i="1"/>
  <c r="BF121" i="1"/>
  <c r="BI111" i="1"/>
  <c r="BI121" i="1" s="1"/>
  <c r="BQ121" i="1"/>
  <c r="BY111" i="1"/>
  <c r="BY121" i="1" s="1"/>
  <c r="BR121" i="1"/>
  <c r="AQ113" i="1"/>
  <c r="AQ114" i="1"/>
  <c r="AQ115" i="1"/>
  <c r="AQ116" i="1"/>
  <c r="AQ117" i="1"/>
  <c r="AQ118" i="1"/>
  <c r="AQ119" i="1"/>
  <c r="AQ120" i="1"/>
  <c r="AQ121" i="1"/>
  <c r="AA111" i="1" l="1"/>
  <c r="W111" i="1"/>
  <c r="EE111" i="1"/>
  <c r="EF111" i="1" s="1"/>
  <c r="EH111" i="1" s="1"/>
  <c r="DY111" i="1"/>
  <c r="DZ111" i="1" s="1"/>
  <c r="EB111" i="1" s="1"/>
  <c r="DS111" i="1"/>
  <c r="DT111" i="1" s="1"/>
  <c r="DV111" i="1" s="1"/>
  <c r="DQ111" i="1"/>
  <c r="DJ111" i="1"/>
  <c r="DK111" i="1" s="1"/>
  <c r="DM111" i="1" s="1"/>
  <c r="DD111" i="1"/>
  <c r="DE111" i="1" s="1"/>
  <c r="DG111" i="1" s="1"/>
  <c r="CX111" i="1"/>
  <c r="CY111" i="1" s="1"/>
  <c r="DA111" i="1" s="1"/>
  <c r="CV111" i="1"/>
  <c r="CO111" i="1"/>
  <c r="CP111" i="1" s="1"/>
  <c r="CR111" i="1" s="1"/>
  <c r="CI111" i="1"/>
  <c r="CJ111" i="1" s="1"/>
  <c r="CL111" i="1" s="1"/>
  <c r="CC111" i="1"/>
  <c r="CD111" i="1" s="1"/>
  <c r="CF111" i="1" s="1"/>
  <c r="BU111" i="1"/>
  <c r="BT111" i="1"/>
  <c r="BL111" i="1"/>
  <c r="AY111" i="1"/>
  <c r="AX111" i="1"/>
  <c r="AZ111" i="1" s="1"/>
  <c r="BD111" i="1"/>
  <c r="AI111" i="1"/>
  <c r="AK111" i="1" s="1"/>
  <c r="AM111" i="1" s="1"/>
  <c r="AH121" i="1"/>
  <c r="AD121" i="1"/>
  <c r="Z121" i="1"/>
  <c r="U121" i="1"/>
  <c r="V121" i="1" s="1"/>
  <c r="N121" i="1"/>
  <c r="AA110" i="1"/>
  <c r="W110" i="1"/>
  <c r="EE110" i="1"/>
  <c r="EF110" i="1" s="1"/>
  <c r="EH110" i="1" s="1"/>
  <c r="DY110" i="1"/>
  <c r="DZ110" i="1" s="1"/>
  <c r="EB110" i="1" s="1"/>
  <c r="DS110" i="1"/>
  <c r="DT110" i="1" s="1"/>
  <c r="DV110" i="1" s="1"/>
  <c r="DQ110" i="1"/>
  <c r="DJ110" i="1"/>
  <c r="DK110" i="1" s="1"/>
  <c r="DM110" i="1" s="1"/>
  <c r="DD110" i="1"/>
  <c r="DE110" i="1" s="1"/>
  <c r="DG110" i="1" s="1"/>
  <c r="CX110" i="1"/>
  <c r="CY110" i="1" s="1"/>
  <c r="DA110" i="1" s="1"/>
  <c r="CV110" i="1"/>
  <c r="CO110" i="1"/>
  <c r="CP110" i="1" s="1"/>
  <c r="CR110" i="1" s="1"/>
  <c r="CI110" i="1"/>
  <c r="CJ110" i="1" s="1"/>
  <c r="CL110" i="1" s="1"/>
  <c r="CC110" i="1"/>
  <c r="CD110" i="1" s="1"/>
  <c r="CF110" i="1" s="1"/>
  <c r="BU110" i="1"/>
  <c r="BT110" i="1"/>
  <c r="BL110" i="1"/>
  <c r="AY110" i="1"/>
  <c r="AX110" i="1"/>
  <c r="AZ110" i="1" s="1"/>
  <c r="BD110" i="1"/>
  <c r="AI110" i="1"/>
  <c r="AK110" i="1" s="1"/>
  <c r="AM110" i="1" s="1"/>
  <c r="AH120" i="1"/>
  <c r="AD120" i="1"/>
  <c r="Z120" i="1"/>
  <c r="U120" i="1"/>
  <c r="V120" i="1" s="1"/>
  <c r="N120" i="1"/>
  <c r="AA109" i="1"/>
  <c r="W109" i="1"/>
  <c r="EE109" i="1"/>
  <c r="EF109" i="1" s="1"/>
  <c r="EH109" i="1" s="1"/>
  <c r="DY109" i="1"/>
  <c r="DZ109" i="1" s="1"/>
  <c r="EB109" i="1" s="1"/>
  <c r="DS109" i="1"/>
  <c r="DT109" i="1" s="1"/>
  <c r="DV109" i="1" s="1"/>
  <c r="DQ109" i="1"/>
  <c r="DJ109" i="1"/>
  <c r="DK109" i="1" s="1"/>
  <c r="DM109" i="1" s="1"/>
  <c r="DD109" i="1"/>
  <c r="DE109" i="1" s="1"/>
  <c r="DG109" i="1" s="1"/>
  <c r="CX109" i="1"/>
  <c r="CY109" i="1" s="1"/>
  <c r="DA109" i="1" s="1"/>
  <c r="CV109" i="1"/>
  <c r="CO109" i="1"/>
  <c r="CP109" i="1" s="1"/>
  <c r="CR109" i="1" s="1"/>
  <c r="CI109" i="1"/>
  <c r="CJ109" i="1" s="1"/>
  <c r="CL109" i="1" s="1"/>
  <c r="CC109" i="1"/>
  <c r="CD109" i="1" s="1"/>
  <c r="CF109" i="1" s="1"/>
  <c r="BU109" i="1"/>
  <c r="BU119" i="1" s="1"/>
  <c r="BT109" i="1"/>
  <c r="BT119" i="1" s="1"/>
  <c r="BL109" i="1"/>
  <c r="AY109" i="1"/>
  <c r="AX109" i="1"/>
  <c r="BD109" i="1"/>
  <c r="AI109" i="1"/>
  <c r="AH119" i="1"/>
  <c r="BD119" i="1" s="1"/>
  <c r="AD119" i="1"/>
  <c r="Z119" i="1"/>
  <c r="U119" i="1"/>
  <c r="V119" i="1" s="1"/>
  <c r="N119" i="1"/>
  <c r="AA108" i="1"/>
  <c r="W108" i="1"/>
  <c r="EE108" i="1"/>
  <c r="EF108" i="1" s="1"/>
  <c r="EH108" i="1" s="1"/>
  <c r="DY108" i="1"/>
  <c r="DZ108" i="1" s="1"/>
  <c r="EB108" i="1" s="1"/>
  <c r="DS108" i="1"/>
  <c r="DT108" i="1" s="1"/>
  <c r="DV108" i="1" s="1"/>
  <c r="DQ108" i="1"/>
  <c r="DJ108" i="1"/>
  <c r="DK108" i="1" s="1"/>
  <c r="DM108" i="1" s="1"/>
  <c r="DD108" i="1"/>
  <c r="DE108" i="1" s="1"/>
  <c r="DG108" i="1" s="1"/>
  <c r="CX108" i="1"/>
  <c r="CY108" i="1" s="1"/>
  <c r="DA108" i="1" s="1"/>
  <c r="CV108" i="1"/>
  <c r="CO108" i="1"/>
  <c r="CP108" i="1" s="1"/>
  <c r="CR108" i="1" s="1"/>
  <c r="CI108" i="1"/>
  <c r="CJ108" i="1" s="1"/>
  <c r="CL108" i="1" s="1"/>
  <c r="CC108" i="1"/>
  <c r="CD108" i="1" s="1"/>
  <c r="CF108" i="1" s="1"/>
  <c r="BU108" i="1"/>
  <c r="BT108" i="1"/>
  <c r="BL108" i="1"/>
  <c r="AY108" i="1"/>
  <c r="AX108" i="1"/>
  <c r="AZ108" i="1" s="1"/>
  <c r="BD108" i="1"/>
  <c r="AI108" i="1"/>
  <c r="AK108" i="1" s="1"/>
  <c r="AM108" i="1" s="1"/>
  <c r="AH118" i="1"/>
  <c r="AD118" i="1"/>
  <c r="Z118" i="1"/>
  <c r="U118" i="1"/>
  <c r="V118" i="1" s="1"/>
  <c r="N118" i="1"/>
  <c r="AA107" i="1"/>
  <c r="W107" i="1"/>
  <c r="EE107" i="1"/>
  <c r="EF107" i="1" s="1"/>
  <c r="EH107" i="1" s="1"/>
  <c r="DY107" i="1"/>
  <c r="DZ107" i="1" s="1"/>
  <c r="EB107" i="1" s="1"/>
  <c r="DS107" i="1"/>
  <c r="DT107" i="1" s="1"/>
  <c r="DV107" i="1" s="1"/>
  <c r="DQ107" i="1"/>
  <c r="DJ107" i="1"/>
  <c r="DK107" i="1" s="1"/>
  <c r="DM107" i="1" s="1"/>
  <c r="DD107" i="1"/>
  <c r="DE107" i="1" s="1"/>
  <c r="DG107" i="1" s="1"/>
  <c r="CX107" i="1"/>
  <c r="CY107" i="1" s="1"/>
  <c r="DA107" i="1" s="1"/>
  <c r="CV107" i="1"/>
  <c r="CO107" i="1"/>
  <c r="CP107" i="1" s="1"/>
  <c r="CR107" i="1" s="1"/>
  <c r="CI107" i="1"/>
  <c r="CJ107" i="1" s="1"/>
  <c r="CL107" i="1" s="1"/>
  <c r="CC107" i="1"/>
  <c r="CD107" i="1" s="1"/>
  <c r="CF107" i="1" s="1"/>
  <c r="BU107" i="1"/>
  <c r="BT107" i="1"/>
  <c r="BL107" i="1"/>
  <c r="AY107" i="1"/>
  <c r="AX107" i="1"/>
  <c r="AZ107" i="1" s="1"/>
  <c r="BD107" i="1"/>
  <c r="AI107" i="1"/>
  <c r="AK107" i="1" s="1"/>
  <c r="AM107" i="1" s="1"/>
  <c r="AH117" i="1"/>
  <c r="AD117" i="1"/>
  <c r="Z117" i="1"/>
  <c r="U117" i="1"/>
  <c r="V117" i="1" s="1"/>
  <c r="N117" i="1"/>
  <c r="AA106" i="1"/>
  <c r="W106" i="1"/>
  <c r="EE106" i="1"/>
  <c r="EF106" i="1" s="1"/>
  <c r="EH106" i="1" s="1"/>
  <c r="DY106" i="1"/>
  <c r="DZ106" i="1" s="1"/>
  <c r="EB106" i="1" s="1"/>
  <c r="DS106" i="1"/>
  <c r="DT106" i="1" s="1"/>
  <c r="DV106" i="1" s="1"/>
  <c r="DQ106" i="1"/>
  <c r="DJ106" i="1"/>
  <c r="DK106" i="1" s="1"/>
  <c r="DM106" i="1" s="1"/>
  <c r="DD106" i="1"/>
  <c r="DE106" i="1" s="1"/>
  <c r="DG106" i="1" s="1"/>
  <c r="CX106" i="1"/>
  <c r="CY106" i="1" s="1"/>
  <c r="DA106" i="1" s="1"/>
  <c r="CV106" i="1"/>
  <c r="CO106" i="1"/>
  <c r="CP106" i="1" s="1"/>
  <c r="CR106" i="1" s="1"/>
  <c r="CI106" i="1"/>
  <c r="CJ106" i="1" s="1"/>
  <c r="CL106" i="1" s="1"/>
  <c r="CC106" i="1"/>
  <c r="CD106" i="1" s="1"/>
  <c r="CF106" i="1" s="1"/>
  <c r="BU106" i="1"/>
  <c r="BU116" i="1" s="1"/>
  <c r="BT106" i="1"/>
  <c r="BT116" i="1" s="1"/>
  <c r="BL106" i="1"/>
  <c r="AY106" i="1"/>
  <c r="AX106" i="1"/>
  <c r="BD106" i="1"/>
  <c r="AI106" i="1"/>
  <c r="AH116" i="1"/>
  <c r="AD116" i="1"/>
  <c r="Z116" i="1"/>
  <c r="U116" i="1"/>
  <c r="V116" i="1" s="1"/>
  <c r="N116" i="1"/>
  <c r="AA105" i="1"/>
  <c r="W105" i="1"/>
  <c r="EE105" i="1"/>
  <c r="EF105" i="1" s="1"/>
  <c r="EH105" i="1" s="1"/>
  <c r="DY105" i="1"/>
  <c r="DZ105" i="1" s="1"/>
  <c r="EB105" i="1" s="1"/>
  <c r="DS105" i="1"/>
  <c r="DT105" i="1" s="1"/>
  <c r="DV105" i="1" s="1"/>
  <c r="DQ105" i="1"/>
  <c r="DJ105" i="1"/>
  <c r="DK105" i="1" s="1"/>
  <c r="DM105" i="1" s="1"/>
  <c r="DD105" i="1"/>
  <c r="DE105" i="1" s="1"/>
  <c r="DG105" i="1" s="1"/>
  <c r="CX105" i="1"/>
  <c r="CY105" i="1" s="1"/>
  <c r="DA105" i="1" s="1"/>
  <c r="CV105" i="1"/>
  <c r="CO105" i="1"/>
  <c r="CP105" i="1" s="1"/>
  <c r="CR105" i="1" s="1"/>
  <c r="CI105" i="1"/>
  <c r="CJ105" i="1" s="1"/>
  <c r="CL105" i="1" s="1"/>
  <c r="CC105" i="1"/>
  <c r="CD105" i="1" s="1"/>
  <c r="CF105" i="1" s="1"/>
  <c r="BU105" i="1"/>
  <c r="BT105" i="1"/>
  <c r="BL105" i="1"/>
  <c r="AY105" i="1"/>
  <c r="AX105" i="1"/>
  <c r="AZ105" i="1" s="1"/>
  <c r="BD105" i="1"/>
  <c r="AI105" i="1"/>
  <c r="AK105" i="1" s="1"/>
  <c r="AM105" i="1" s="1"/>
  <c r="AH115" i="1"/>
  <c r="AD115" i="1"/>
  <c r="Z115" i="1"/>
  <c r="U115" i="1"/>
  <c r="V115" i="1" s="1"/>
  <c r="N115" i="1"/>
  <c r="AA104" i="1"/>
  <c r="W104" i="1"/>
  <c r="EE104" i="1"/>
  <c r="EF104" i="1" s="1"/>
  <c r="EH104" i="1" s="1"/>
  <c r="DY104" i="1"/>
  <c r="DZ104" i="1" s="1"/>
  <c r="EB104" i="1" s="1"/>
  <c r="DS104" i="1"/>
  <c r="DT104" i="1" s="1"/>
  <c r="DV104" i="1" s="1"/>
  <c r="DQ104" i="1"/>
  <c r="DJ104" i="1"/>
  <c r="DK104" i="1" s="1"/>
  <c r="DM104" i="1" s="1"/>
  <c r="DD104" i="1"/>
  <c r="DE104" i="1" s="1"/>
  <c r="DG104" i="1" s="1"/>
  <c r="CX104" i="1"/>
  <c r="CY104" i="1" s="1"/>
  <c r="DA104" i="1" s="1"/>
  <c r="CV104" i="1"/>
  <c r="CO104" i="1"/>
  <c r="CP104" i="1" s="1"/>
  <c r="CR104" i="1" s="1"/>
  <c r="CI104" i="1"/>
  <c r="CJ104" i="1" s="1"/>
  <c r="CL104" i="1" s="1"/>
  <c r="CC104" i="1"/>
  <c r="CD104" i="1" s="1"/>
  <c r="CF104" i="1" s="1"/>
  <c r="BU104" i="1"/>
  <c r="BT104" i="1"/>
  <c r="BL104" i="1"/>
  <c r="AY104" i="1"/>
  <c r="AX104" i="1"/>
  <c r="AZ104" i="1" s="1"/>
  <c r="BD104" i="1"/>
  <c r="AI104" i="1"/>
  <c r="AK104" i="1" s="1"/>
  <c r="AM104" i="1" s="1"/>
  <c r="AH114" i="1"/>
  <c r="AD114" i="1"/>
  <c r="Z114" i="1"/>
  <c r="U114" i="1"/>
  <c r="V114" i="1" s="1"/>
  <c r="N114" i="1"/>
  <c r="AA103" i="1"/>
  <c r="W103" i="1"/>
  <c r="EE103" i="1"/>
  <c r="EF103" i="1" s="1"/>
  <c r="EH103" i="1" s="1"/>
  <c r="DY103" i="1"/>
  <c r="DZ103" i="1" s="1"/>
  <c r="EB103" i="1" s="1"/>
  <c r="DS103" i="1"/>
  <c r="DT103" i="1" s="1"/>
  <c r="DV103" i="1" s="1"/>
  <c r="DQ103" i="1"/>
  <c r="DJ103" i="1"/>
  <c r="DK103" i="1" s="1"/>
  <c r="DM103" i="1" s="1"/>
  <c r="DD103" i="1"/>
  <c r="DE103" i="1" s="1"/>
  <c r="DG103" i="1" s="1"/>
  <c r="CX103" i="1"/>
  <c r="CY103" i="1" s="1"/>
  <c r="DA103" i="1" s="1"/>
  <c r="CV103" i="1"/>
  <c r="CO103" i="1"/>
  <c r="CP103" i="1" s="1"/>
  <c r="CR103" i="1" s="1"/>
  <c r="CI103" i="1"/>
  <c r="CJ103" i="1" s="1"/>
  <c r="CL103" i="1" s="1"/>
  <c r="CC103" i="1"/>
  <c r="CD103" i="1" s="1"/>
  <c r="CF103" i="1" s="1"/>
  <c r="BU103" i="1"/>
  <c r="BU113" i="1" s="1"/>
  <c r="BT103" i="1"/>
  <c r="BT113" i="1" s="1"/>
  <c r="BL103" i="1"/>
  <c r="AY103" i="1"/>
  <c r="AX103" i="1"/>
  <c r="BD103" i="1"/>
  <c r="AI103" i="1"/>
  <c r="AH113" i="1"/>
  <c r="BD113" i="1" s="1"/>
  <c r="AD113" i="1"/>
  <c r="Z113" i="1"/>
  <c r="U113" i="1"/>
  <c r="V113" i="1" s="1"/>
  <c r="N113" i="1"/>
  <c r="AA91" i="1"/>
  <c r="W91" i="1"/>
  <c r="EE91" i="1"/>
  <c r="EF91" i="1" s="1"/>
  <c r="EH91" i="1" s="1"/>
  <c r="DY91" i="1"/>
  <c r="DZ91" i="1" s="1"/>
  <c r="EB91" i="1" s="1"/>
  <c r="DS91" i="1"/>
  <c r="DT91" i="1" s="1"/>
  <c r="DV91" i="1" s="1"/>
  <c r="DQ91" i="1"/>
  <c r="DJ91" i="1"/>
  <c r="DK91" i="1" s="1"/>
  <c r="DM91" i="1" s="1"/>
  <c r="DD91" i="1"/>
  <c r="DE91" i="1" s="1"/>
  <c r="DG91" i="1" s="1"/>
  <c r="CX91" i="1"/>
  <c r="CY91" i="1" s="1"/>
  <c r="DA91" i="1" s="1"/>
  <c r="CV91" i="1"/>
  <c r="CO91" i="1"/>
  <c r="CP91" i="1" s="1"/>
  <c r="CR91" i="1" s="1"/>
  <c r="CI91" i="1"/>
  <c r="CJ91" i="1" s="1"/>
  <c r="CL91" i="1" s="1"/>
  <c r="CC91" i="1"/>
  <c r="CD91" i="1" s="1"/>
  <c r="CF91" i="1" s="1"/>
  <c r="BU91" i="1"/>
  <c r="BT91" i="1"/>
  <c r="BL91" i="1"/>
  <c r="AY91" i="1"/>
  <c r="AX91" i="1"/>
  <c r="AZ91" i="1" s="1"/>
  <c r="BD91" i="1"/>
  <c r="AK91" i="1"/>
  <c r="AM91" i="1" s="1"/>
  <c r="AH101" i="1"/>
  <c r="AD101" i="1"/>
  <c r="Z101" i="1"/>
  <c r="U101" i="1"/>
  <c r="V101" i="1" s="1"/>
  <c r="N101" i="1"/>
  <c r="AA90" i="1"/>
  <c r="W90" i="1"/>
  <c r="EE90" i="1"/>
  <c r="EF90" i="1" s="1"/>
  <c r="EH90" i="1" s="1"/>
  <c r="DY90" i="1"/>
  <c r="DZ90" i="1" s="1"/>
  <c r="EB90" i="1" s="1"/>
  <c r="DS90" i="1"/>
  <c r="DT90" i="1" s="1"/>
  <c r="DV90" i="1" s="1"/>
  <c r="DQ90" i="1"/>
  <c r="DJ90" i="1"/>
  <c r="DK90" i="1" s="1"/>
  <c r="DM90" i="1" s="1"/>
  <c r="DD90" i="1"/>
  <c r="DE90" i="1" s="1"/>
  <c r="DG90" i="1" s="1"/>
  <c r="CX90" i="1"/>
  <c r="CY90" i="1" s="1"/>
  <c r="DA90" i="1" s="1"/>
  <c r="CV90" i="1"/>
  <c r="CO90" i="1"/>
  <c r="CP90" i="1" s="1"/>
  <c r="CR90" i="1" s="1"/>
  <c r="CI90" i="1"/>
  <c r="CJ90" i="1" s="1"/>
  <c r="CL90" i="1" s="1"/>
  <c r="CC90" i="1"/>
  <c r="CD90" i="1" s="1"/>
  <c r="CF90" i="1" s="1"/>
  <c r="BU90" i="1"/>
  <c r="BT90" i="1"/>
  <c r="BL90" i="1"/>
  <c r="AY90" i="1"/>
  <c r="AX90" i="1"/>
  <c r="AZ90" i="1" s="1"/>
  <c r="BD90" i="1"/>
  <c r="AK90" i="1"/>
  <c r="AM90" i="1" s="1"/>
  <c r="AH100" i="1"/>
  <c r="AD100" i="1"/>
  <c r="Z100" i="1"/>
  <c r="U100" i="1"/>
  <c r="V100" i="1" s="1"/>
  <c r="N100" i="1"/>
  <c r="AA89" i="1"/>
  <c r="W89" i="1"/>
  <c r="EE89" i="1"/>
  <c r="EF89" i="1" s="1"/>
  <c r="EH89" i="1" s="1"/>
  <c r="DY89" i="1"/>
  <c r="DZ89" i="1" s="1"/>
  <c r="EB89" i="1" s="1"/>
  <c r="DS89" i="1"/>
  <c r="DT89" i="1" s="1"/>
  <c r="DV89" i="1" s="1"/>
  <c r="DQ89" i="1"/>
  <c r="DJ89" i="1"/>
  <c r="DK89" i="1" s="1"/>
  <c r="DM89" i="1" s="1"/>
  <c r="DD89" i="1"/>
  <c r="DE89" i="1" s="1"/>
  <c r="DG89" i="1" s="1"/>
  <c r="CX89" i="1"/>
  <c r="CY89" i="1" s="1"/>
  <c r="DA89" i="1" s="1"/>
  <c r="CV89" i="1"/>
  <c r="CO89" i="1"/>
  <c r="CP89" i="1" s="1"/>
  <c r="CR89" i="1" s="1"/>
  <c r="CI89" i="1"/>
  <c r="CJ89" i="1" s="1"/>
  <c r="CL89" i="1" s="1"/>
  <c r="CC89" i="1"/>
  <c r="CD89" i="1" s="1"/>
  <c r="CF89" i="1" s="1"/>
  <c r="BU89" i="1"/>
  <c r="BU99" i="1" s="1"/>
  <c r="BT89" i="1"/>
  <c r="BT99" i="1" s="1"/>
  <c r="BL89" i="1"/>
  <c r="AY89" i="1"/>
  <c r="AX89" i="1"/>
  <c r="BD89" i="1"/>
  <c r="AK89" i="1"/>
  <c r="AH99" i="1"/>
  <c r="BD99" i="1" s="1"/>
  <c r="AD99" i="1"/>
  <c r="Z99" i="1"/>
  <c r="U99" i="1"/>
  <c r="V99" i="1" s="1"/>
  <c r="N99" i="1"/>
  <c r="AA88" i="1"/>
  <c r="W88" i="1"/>
  <c r="EE88" i="1"/>
  <c r="EF88" i="1" s="1"/>
  <c r="EH88" i="1" s="1"/>
  <c r="DY88" i="1"/>
  <c r="DZ88" i="1" s="1"/>
  <c r="EB88" i="1" s="1"/>
  <c r="DS88" i="1"/>
  <c r="DT88" i="1" s="1"/>
  <c r="DV88" i="1" s="1"/>
  <c r="DQ88" i="1"/>
  <c r="DJ88" i="1"/>
  <c r="DK88" i="1" s="1"/>
  <c r="DM88" i="1" s="1"/>
  <c r="DD88" i="1"/>
  <c r="DE88" i="1" s="1"/>
  <c r="DG88" i="1" s="1"/>
  <c r="CX88" i="1"/>
  <c r="CY88" i="1" s="1"/>
  <c r="DA88" i="1" s="1"/>
  <c r="CV88" i="1"/>
  <c r="CO88" i="1"/>
  <c r="CP88" i="1" s="1"/>
  <c r="CR88" i="1" s="1"/>
  <c r="CI88" i="1"/>
  <c r="CJ88" i="1" s="1"/>
  <c r="CL88" i="1" s="1"/>
  <c r="CC88" i="1"/>
  <c r="CD88" i="1" s="1"/>
  <c r="CF88" i="1" s="1"/>
  <c r="BU88" i="1"/>
  <c r="BT88" i="1"/>
  <c r="BL88" i="1"/>
  <c r="AY88" i="1"/>
  <c r="AX88" i="1"/>
  <c r="AZ88" i="1" s="1"/>
  <c r="BD88" i="1"/>
  <c r="AK88" i="1"/>
  <c r="AM88" i="1" s="1"/>
  <c r="AH98" i="1"/>
  <c r="AD98" i="1"/>
  <c r="Z98" i="1"/>
  <c r="U98" i="1"/>
  <c r="V98" i="1" s="1"/>
  <c r="N98" i="1"/>
  <c r="AA87" i="1"/>
  <c r="W87" i="1"/>
  <c r="EE87" i="1"/>
  <c r="EF87" i="1" s="1"/>
  <c r="EH87" i="1" s="1"/>
  <c r="DY87" i="1"/>
  <c r="DZ87" i="1" s="1"/>
  <c r="EB87" i="1" s="1"/>
  <c r="DS87" i="1"/>
  <c r="DT87" i="1" s="1"/>
  <c r="DV87" i="1" s="1"/>
  <c r="DQ87" i="1"/>
  <c r="DJ87" i="1"/>
  <c r="DK87" i="1" s="1"/>
  <c r="DM87" i="1" s="1"/>
  <c r="DD87" i="1"/>
  <c r="DE87" i="1" s="1"/>
  <c r="DG87" i="1" s="1"/>
  <c r="CX87" i="1"/>
  <c r="CY87" i="1" s="1"/>
  <c r="DA87" i="1" s="1"/>
  <c r="CV87" i="1"/>
  <c r="CO87" i="1"/>
  <c r="CP87" i="1" s="1"/>
  <c r="CR87" i="1" s="1"/>
  <c r="CI87" i="1"/>
  <c r="CJ87" i="1" s="1"/>
  <c r="CL87" i="1" s="1"/>
  <c r="CC87" i="1"/>
  <c r="CD87" i="1" s="1"/>
  <c r="CF87" i="1" s="1"/>
  <c r="BU87" i="1"/>
  <c r="BT87" i="1"/>
  <c r="BL87" i="1"/>
  <c r="AY87" i="1"/>
  <c r="AX87" i="1"/>
  <c r="AZ87" i="1" s="1"/>
  <c r="BD87" i="1"/>
  <c r="AK87" i="1"/>
  <c r="AM87" i="1" s="1"/>
  <c r="AH97" i="1"/>
  <c r="AD97" i="1"/>
  <c r="Z97" i="1"/>
  <c r="U97" i="1"/>
  <c r="V97" i="1" s="1"/>
  <c r="N97" i="1"/>
  <c r="AA86" i="1"/>
  <c r="W86" i="1"/>
  <c r="EE86" i="1"/>
  <c r="EF86" i="1" s="1"/>
  <c r="EH86" i="1" s="1"/>
  <c r="DY86" i="1"/>
  <c r="DZ86" i="1" s="1"/>
  <c r="EB86" i="1" s="1"/>
  <c r="DS86" i="1"/>
  <c r="DT86" i="1" s="1"/>
  <c r="DV86" i="1" s="1"/>
  <c r="DQ86" i="1"/>
  <c r="DJ86" i="1"/>
  <c r="DK86" i="1" s="1"/>
  <c r="DM86" i="1" s="1"/>
  <c r="DD86" i="1"/>
  <c r="DE86" i="1" s="1"/>
  <c r="DG86" i="1" s="1"/>
  <c r="CX86" i="1"/>
  <c r="CY86" i="1" s="1"/>
  <c r="DA86" i="1" s="1"/>
  <c r="CV86" i="1"/>
  <c r="CO86" i="1"/>
  <c r="CP86" i="1" s="1"/>
  <c r="CR86" i="1" s="1"/>
  <c r="CI86" i="1"/>
  <c r="CJ86" i="1" s="1"/>
  <c r="CL86" i="1" s="1"/>
  <c r="CC86" i="1"/>
  <c r="CD86" i="1" s="1"/>
  <c r="CF86" i="1" s="1"/>
  <c r="BU86" i="1"/>
  <c r="BU96" i="1" s="1"/>
  <c r="BT86" i="1"/>
  <c r="BT96" i="1" s="1"/>
  <c r="BL86" i="1"/>
  <c r="AY86" i="1"/>
  <c r="AX86" i="1"/>
  <c r="BD86" i="1"/>
  <c r="AK86" i="1"/>
  <c r="AM86" i="1" s="1"/>
  <c r="AH96" i="1"/>
  <c r="AD96" i="1"/>
  <c r="Z96" i="1"/>
  <c r="U96" i="1"/>
  <c r="V96" i="1" s="1"/>
  <c r="N96" i="1"/>
  <c r="AA85" i="1"/>
  <c r="W85" i="1"/>
  <c r="EE85" i="1"/>
  <c r="EF85" i="1" s="1"/>
  <c r="EH85" i="1" s="1"/>
  <c r="DY85" i="1"/>
  <c r="DZ85" i="1" s="1"/>
  <c r="EB85" i="1" s="1"/>
  <c r="DS85" i="1"/>
  <c r="DT85" i="1" s="1"/>
  <c r="DV85" i="1" s="1"/>
  <c r="DQ85" i="1"/>
  <c r="DJ85" i="1"/>
  <c r="DK85" i="1" s="1"/>
  <c r="DM85" i="1" s="1"/>
  <c r="DD85" i="1"/>
  <c r="DE85" i="1" s="1"/>
  <c r="DG85" i="1" s="1"/>
  <c r="CX85" i="1"/>
  <c r="CY85" i="1" s="1"/>
  <c r="DA85" i="1" s="1"/>
  <c r="CV85" i="1"/>
  <c r="CO85" i="1"/>
  <c r="CP85" i="1" s="1"/>
  <c r="CR85" i="1" s="1"/>
  <c r="CI85" i="1"/>
  <c r="CJ85" i="1" s="1"/>
  <c r="CL85" i="1" s="1"/>
  <c r="CC85" i="1"/>
  <c r="CD85" i="1" s="1"/>
  <c r="CF85" i="1" s="1"/>
  <c r="BU85" i="1"/>
  <c r="BT85" i="1"/>
  <c r="BL85" i="1"/>
  <c r="AY85" i="1"/>
  <c r="AX85" i="1"/>
  <c r="AZ85" i="1" s="1"/>
  <c r="BD85" i="1"/>
  <c r="AK85" i="1"/>
  <c r="AM85" i="1" s="1"/>
  <c r="AH95" i="1"/>
  <c r="AD95" i="1"/>
  <c r="Z95" i="1"/>
  <c r="U95" i="1"/>
  <c r="V95" i="1" s="1"/>
  <c r="N95" i="1"/>
  <c r="AA84" i="1"/>
  <c r="W84" i="1"/>
  <c r="EE84" i="1"/>
  <c r="EF84" i="1" s="1"/>
  <c r="EH84" i="1" s="1"/>
  <c r="DY84" i="1"/>
  <c r="DZ84" i="1" s="1"/>
  <c r="EB84" i="1" s="1"/>
  <c r="DS84" i="1"/>
  <c r="DT84" i="1" s="1"/>
  <c r="DV84" i="1" s="1"/>
  <c r="DQ84" i="1"/>
  <c r="DJ84" i="1"/>
  <c r="DK84" i="1" s="1"/>
  <c r="DM84" i="1" s="1"/>
  <c r="DD84" i="1"/>
  <c r="DE84" i="1" s="1"/>
  <c r="DG84" i="1" s="1"/>
  <c r="CX84" i="1"/>
  <c r="CY84" i="1" s="1"/>
  <c r="DA84" i="1" s="1"/>
  <c r="CV84" i="1"/>
  <c r="CO84" i="1"/>
  <c r="CP84" i="1" s="1"/>
  <c r="CR84" i="1" s="1"/>
  <c r="CI84" i="1"/>
  <c r="CJ84" i="1" s="1"/>
  <c r="CL84" i="1" s="1"/>
  <c r="CC84" i="1"/>
  <c r="CD84" i="1" s="1"/>
  <c r="CF84" i="1" s="1"/>
  <c r="BU84" i="1"/>
  <c r="BT84" i="1"/>
  <c r="BL84" i="1"/>
  <c r="AY84" i="1"/>
  <c r="AX84" i="1"/>
  <c r="AZ84" i="1" s="1"/>
  <c r="BD84" i="1"/>
  <c r="AK84" i="1"/>
  <c r="AM84" i="1" s="1"/>
  <c r="AH94" i="1"/>
  <c r="AD94" i="1"/>
  <c r="Z94" i="1"/>
  <c r="U94" i="1"/>
  <c r="V94" i="1" s="1"/>
  <c r="N94" i="1"/>
  <c r="AA83" i="1"/>
  <c r="W83" i="1"/>
  <c r="EE83" i="1"/>
  <c r="EF83" i="1" s="1"/>
  <c r="EH83" i="1" s="1"/>
  <c r="DY83" i="1"/>
  <c r="DZ83" i="1" s="1"/>
  <c r="EB83" i="1" s="1"/>
  <c r="DS83" i="1"/>
  <c r="DT83" i="1" s="1"/>
  <c r="DV83" i="1" s="1"/>
  <c r="DQ83" i="1"/>
  <c r="DJ83" i="1"/>
  <c r="DK83" i="1" s="1"/>
  <c r="DM83" i="1" s="1"/>
  <c r="DD83" i="1"/>
  <c r="DE83" i="1" s="1"/>
  <c r="DG83" i="1" s="1"/>
  <c r="CX83" i="1"/>
  <c r="CY83" i="1" s="1"/>
  <c r="DA83" i="1" s="1"/>
  <c r="CV83" i="1"/>
  <c r="CO83" i="1"/>
  <c r="CP83" i="1" s="1"/>
  <c r="CR83" i="1" s="1"/>
  <c r="CI83" i="1"/>
  <c r="CJ83" i="1" s="1"/>
  <c r="CL83" i="1" s="1"/>
  <c r="CC83" i="1"/>
  <c r="CD83" i="1" s="1"/>
  <c r="CF83" i="1" s="1"/>
  <c r="BU83" i="1"/>
  <c r="BU93" i="1" s="1"/>
  <c r="BT83" i="1"/>
  <c r="BT93" i="1" s="1"/>
  <c r="BL83" i="1"/>
  <c r="AY83" i="1"/>
  <c r="AX83" i="1"/>
  <c r="BD83" i="1"/>
  <c r="AK83" i="1"/>
  <c r="AH93" i="1"/>
  <c r="BD93" i="1" s="1"/>
  <c r="AD93" i="1"/>
  <c r="Z93" i="1"/>
  <c r="U93" i="1"/>
  <c r="V93" i="1" s="1"/>
  <c r="N93" i="1"/>
  <c r="AA71" i="1"/>
  <c r="W71" i="1"/>
  <c r="EE71" i="1"/>
  <c r="EF71" i="1" s="1"/>
  <c r="EH71" i="1" s="1"/>
  <c r="DY71" i="1"/>
  <c r="DZ71" i="1" s="1"/>
  <c r="EB71" i="1" s="1"/>
  <c r="DS71" i="1"/>
  <c r="DT71" i="1" s="1"/>
  <c r="DV71" i="1" s="1"/>
  <c r="DQ71" i="1"/>
  <c r="DJ71" i="1"/>
  <c r="DK71" i="1" s="1"/>
  <c r="DM71" i="1" s="1"/>
  <c r="DD71" i="1"/>
  <c r="DE71" i="1" s="1"/>
  <c r="DG71" i="1" s="1"/>
  <c r="CX71" i="1"/>
  <c r="CY71" i="1" s="1"/>
  <c r="DA71" i="1" s="1"/>
  <c r="CV71" i="1"/>
  <c r="CO71" i="1"/>
  <c r="CP71" i="1" s="1"/>
  <c r="CR71" i="1" s="1"/>
  <c r="CI71" i="1"/>
  <c r="CJ71" i="1" s="1"/>
  <c r="CL71" i="1" s="1"/>
  <c r="CC71" i="1"/>
  <c r="CD71" i="1" s="1"/>
  <c r="CF71" i="1" s="1"/>
  <c r="CA71" i="1"/>
  <c r="BU71" i="1"/>
  <c r="BT71" i="1"/>
  <c r="BL71" i="1"/>
  <c r="AY71" i="1"/>
  <c r="AX71" i="1"/>
  <c r="AZ71" i="1" s="1"/>
  <c r="BD71" i="1"/>
  <c r="AI71" i="1"/>
  <c r="AK71" i="1" s="1"/>
  <c r="AM71" i="1" s="1"/>
  <c r="AH81" i="1"/>
  <c r="AD81" i="1"/>
  <c r="Z81" i="1"/>
  <c r="U81" i="1"/>
  <c r="V81" i="1" s="1"/>
  <c r="N81" i="1"/>
  <c r="AA70" i="1"/>
  <c r="W70" i="1"/>
  <c r="EE70" i="1"/>
  <c r="EF70" i="1" s="1"/>
  <c r="EH70" i="1" s="1"/>
  <c r="DY70" i="1"/>
  <c r="DZ70" i="1" s="1"/>
  <c r="EB70" i="1" s="1"/>
  <c r="DS70" i="1"/>
  <c r="DT70" i="1" s="1"/>
  <c r="DV70" i="1" s="1"/>
  <c r="DQ70" i="1"/>
  <c r="DJ70" i="1"/>
  <c r="DK70" i="1" s="1"/>
  <c r="DM70" i="1" s="1"/>
  <c r="DD70" i="1"/>
  <c r="DE70" i="1" s="1"/>
  <c r="DG70" i="1" s="1"/>
  <c r="CX70" i="1"/>
  <c r="CY70" i="1" s="1"/>
  <c r="DA70" i="1" s="1"/>
  <c r="CV70" i="1"/>
  <c r="CO70" i="1"/>
  <c r="CP70" i="1" s="1"/>
  <c r="CR70" i="1" s="1"/>
  <c r="CI70" i="1"/>
  <c r="CJ70" i="1" s="1"/>
  <c r="CL70" i="1" s="1"/>
  <c r="CC70" i="1"/>
  <c r="CD70" i="1" s="1"/>
  <c r="CF70" i="1" s="1"/>
  <c r="CA70" i="1"/>
  <c r="BU70" i="1"/>
  <c r="BT70" i="1"/>
  <c r="BL70" i="1"/>
  <c r="AY70" i="1"/>
  <c r="AX70" i="1"/>
  <c r="AZ70" i="1" s="1"/>
  <c r="BD70" i="1"/>
  <c r="AI70" i="1"/>
  <c r="AK70" i="1" s="1"/>
  <c r="AM70" i="1" s="1"/>
  <c r="AH80" i="1"/>
  <c r="AD80" i="1"/>
  <c r="Z80" i="1"/>
  <c r="U80" i="1"/>
  <c r="V80" i="1" s="1"/>
  <c r="N80" i="1"/>
  <c r="AA69" i="1"/>
  <c r="W69" i="1"/>
  <c r="EE69" i="1"/>
  <c r="EF69" i="1" s="1"/>
  <c r="EH69" i="1" s="1"/>
  <c r="DY69" i="1"/>
  <c r="DZ69" i="1" s="1"/>
  <c r="EB69" i="1" s="1"/>
  <c r="DS69" i="1"/>
  <c r="DT69" i="1" s="1"/>
  <c r="DV69" i="1" s="1"/>
  <c r="DQ69" i="1"/>
  <c r="DJ69" i="1"/>
  <c r="DK69" i="1" s="1"/>
  <c r="DM69" i="1" s="1"/>
  <c r="DD69" i="1"/>
  <c r="DE69" i="1" s="1"/>
  <c r="DG69" i="1" s="1"/>
  <c r="CX69" i="1"/>
  <c r="CY69" i="1" s="1"/>
  <c r="DA69" i="1" s="1"/>
  <c r="CV69" i="1"/>
  <c r="CO69" i="1"/>
  <c r="CP69" i="1" s="1"/>
  <c r="CR69" i="1" s="1"/>
  <c r="CI69" i="1"/>
  <c r="CJ69" i="1" s="1"/>
  <c r="CL69" i="1" s="1"/>
  <c r="CC69" i="1"/>
  <c r="CD69" i="1" s="1"/>
  <c r="CF69" i="1" s="1"/>
  <c r="CA69" i="1"/>
  <c r="BU69" i="1"/>
  <c r="BU79" i="1" s="1"/>
  <c r="BT69" i="1"/>
  <c r="BT79" i="1" s="1"/>
  <c r="BL69" i="1"/>
  <c r="AY69" i="1"/>
  <c r="AX69" i="1"/>
  <c r="BD69" i="1"/>
  <c r="AI69" i="1"/>
  <c r="AH79" i="1"/>
  <c r="BD79" i="1" s="1"/>
  <c r="AD79" i="1"/>
  <c r="Z79" i="1"/>
  <c r="U79" i="1"/>
  <c r="V79" i="1" s="1"/>
  <c r="N79" i="1"/>
  <c r="AA68" i="1"/>
  <c r="W68" i="1"/>
  <c r="EE68" i="1"/>
  <c r="EF68" i="1" s="1"/>
  <c r="EH68" i="1" s="1"/>
  <c r="DY68" i="1"/>
  <c r="DZ68" i="1" s="1"/>
  <c r="EB68" i="1" s="1"/>
  <c r="DS68" i="1"/>
  <c r="DT68" i="1" s="1"/>
  <c r="DV68" i="1" s="1"/>
  <c r="DQ68" i="1"/>
  <c r="DJ68" i="1"/>
  <c r="DK68" i="1" s="1"/>
  <c r="DM68" i="1" s="1"/>
  <c r="DD68" i="1"/>
  <c r="DE68" i="1" s="1"/>
  <c r="DG68" i="1" s="1"/>
  <c r="CX68" i="1"/>
  <c r="CY68" i="1" s="1"/>
  <c r="DA68" i="1" s="1"/>
  <c r="CV68" i="1"/>
  <c r="CO68" i="1"/>
  <c r="CP68" i="1" s="1"/>
  <c r="CR68" i="1" s="1"/>
  <c r="CI68" i="1"/>
  <c r="CJ68" i="1" s="1"/>
  <c r="CL68" i="1" s="1"/>
  <c r="CC68" i="1"/>
  <c r="CD68" i="1" s="1"/>
  <c r="CF68" i="1" s="1"/>
  <c r="CA68" i="1"/>
  <c r="BU68" i="1"/>
  <c r="BT68" i="1"/>
  <c r="BL68" i="1"/>
  <c r="AY68" i="1"/>
  <c r="AX68" i="1"/>
  <c r="AZ68" i="1" s="1"/>
  <c r="BD68" i="1"/>
  <c r="AI68" i="1"/>
  <c r="AK68" i="1" s="1"/>
  <c r="AM68" i="1" s="1"/>
  <c r="AH78" i="1"/>
  <c r="AD78" i="1"/>
  <c r="Z78" i="1"/>
  <c r="U78" i="1"/>
  <c r="V78" i="1" s="1"/>
  <c r="N78" i="1"/>
  <c r="AA67" i="1"/>
  <c r="W67" i="1"/>
  <c r="EE67" i="1"/>
  <c r="EF67" i="1" s="1"/>
  <c r="EH67" i="1" s="1"/>
  <c r="DY67" i="1"/>
  <c r="DZ67" i="1" s="1"/>
  <c r="EB67" i="1" s="1"/>
  <c r="DS67" i="1"/>
  <c r="DT67" i="1" s="1"/>
  <c r="DV67" i="1" s="1"/>
  <c r="DQ67" i="1"/>
  <c r="DJ67" i="1"/>
  <c r="DK67" i="1" s="1"/>
  <c r="DM67" i="1" s="1"/>
  <c r="DD67" i="1"/>
  <c r="DE67" i="1" s="1"/>
  <c r="DG67" i="1" s="1"/>
  <c r="CX67" i="1"/>
  <c r="CY67" i="1" s="1"/>
  <c r="DA67" i="1" s="1"/>
  <c r="CV67" i="1"/>
  <c r="CO67" i="1"/>
  <c r="CP67" i="1" s="1"/>
  <c r="CR67" i="1" s="1"/>
  <c r="CI67" i="1"/>
  <c r="CJ67" i="1" s="1"/>
  <c r="CL67" i="1" s="1"/>
  <c r="CC67" i="1"/>
  <c r="CD67" i="1" s="1"/>
  <c r="CF67" i="1" s="1"/>
  <c r="CA67" i="1"/>
  <c r="BU67" i="1"/>
  <c r="BT67" i="1"/>
  <c r="BL67" i="1"/>
  <c r="AY67" i="1"/>
  <c r="AX67" i="1"/>
  <c r="AZ67" i="1" s="1"/>
  <c r="BD67" i="1"/>
  <c r="AI67" i="1"/>
  <c r="AK67" i="1" s="1"/>
  <c r="AM67" i="1" s="1"/>
  <c r="AH77" i="1"/>
  <c r="AD77" i="1"/>
  <c r="Z77" i="1"/>
  <c r="U77" i="1"/>
  <c r="V77" i="1" s="1"/>
  <c r="N77" i="1"/>
  <c r="AA66" i="1"/>
  <c r="W66" i="1"/>
  <c r="EE66" i="1"/>
  <c r="EF66" i="1" s="1"/>
  <c r="EH66" i="1" s="1"/>
  <c r="DY66" i="1"/>
  <c r="DZ66" i="1" s="1"/>
  <c r="EB66" i="1" s="1"/>
  <c r="DS66" i="1"/>
  <c r="DT66" i="1" s="1"/>
  <c r="DV66" i="1" s="1"/>
  <c r="DQ66" i="1"/>
  <c r="DJ66" i="1"/>
  <c r="DK66" i="1" s="1"/>
  <c r="DM66" i="1" s="1"/>
  <c r="DD66" i="1"/>
  <c r="DE66" i="1" s="1"/>
  <c r="DG66" i="1" s="1"/>
  <c r="CX66" i="1"/>
  <c r="CY66" i="1" s="1"/>
  <c r="DA66" i="1" s="1"/>
  <c r="CV66" i="1"/>
  <c r="CO66" i="1"/>
  <c r="CP66" i="1" s="1"/>
  <c r="CR66" i="1" s="1"/>
  <c r="CI66" i="1"/>
  <c r="CJ66" i="1" s="1"/>
  <c r="CL66" i="1" s="1"/>
  <c r="CC66" i="1"/>
  <c r="CD66" i="1" s="1"/>
  <c r="CF66" i="1" s="1"/>
  <c r="CA66" i="1"/>
  <c r="BU66" i="1"/>
  <c r="BU76" i="1" s="1"/>
  <c r="BT66" i="1"/>
  <c r="BT76" i="1" s="1"/>
  <c r="BL66" i="1"/>
  <c r="AY66" i="1"/>
  <c r="AX66" i="1"/>
  <c r="BD66" i="1"/>
  <c r="AI66" i="1"/>
  <c r="AH76" i="1"/>
  <c r="AD76" i="1"/>
  <c r="Z76" i="1"/>
  <c r="U76" i="1"/>
  <c r="V76" i="1" s="1"/>
  <c r="N76" i="1"/>
  <c r="AA65" i="1"/>
  <c r="W65" i="1"/>
  <c r="EE65" i="1"/>
  <c r="EF65" i="1" s="1"/>
  <c r="EH65" i="1" s="1"/>
  <c r="DY65" i="1"/>
  <c r="DZ65" i="1" s="1"/>
  <c r="EB65" i="1" s="1"/>
  <c r="DS65" i="1"/>
  <c r="DT65" i="1" s="1"/>
  <c r="DV65" i="1" s="1"/>
  <c r="DQ65" i="1"/>
  <c r="DJ65" i="1"/>
  <c r="DK65" i="1" s="1"/>
  <c r="DM65" i="1" s="1"/>
  <c r="DD65" i="1"/>
  <c r="DE65" i="1" s="1"/>
  <c r="DG65" i="1" s="1"/>
  <c r="CX65" i="1"/>
  <c r="CY65" i="1" s="1"/>
  <c r="DA65" i="1" s="1"/>
  <c r="CV65" i="1"/>
  <c r="CO65" i="1"/>
  <c r="CP65" i="1" s="1"/>
  <c r="CR65" i="1" s="1"/>
  <c r="CI65" i="1"/>
  <c r="CJ65" i="1" s="1"/>
  <c r="CL65" i="1" s="1"/>
  <c r="CC65" i="1"/>
  <c r="CD65" i="1" s="1"/>
  <c r="CF65" i="1" s="1"/>
  <c r="CA65" i="1"/>
  <c r="BU65" i="1"/>
  <c r="BT65" i="1"/>
  <c r="BL65" i="1"/>
  <c r="AY65" i="1"/>
  <c r="AX65" i="1"/>
  <c r="AZ65" i="1" s="1"/>
  <c r="BD65" i="1"/>
  <c r="AI65" i="1"/>
  <c r="AK65" i="1" s="1"/>
  <c r="AM65" i="1" s="1"/>
  <c r="AH75" i="1"/>
  <c r="AD75" i="1"/>
  <c r="Z75" i="1"/>
  <c r="U75" i="1"/>
  <c r="V75" i="1" s="1"/>
  <c r="N75" i="1"/>
  <c r="AA64" i="1"/>
  <c r="W64" i="1"/>
  <c r="EE64" i="1"/>
  <c r="EF64" i="1" s="1"/>
  <c r="EH64" i="1" s="1"/>
  <c r="DY64" i="1"/>
  <c r="DZ64" i="1" s="1"/>
  <c r="EB64" i="1" s="1"/>
  <c r="DS64" i="1"/>
  <c r="DT64" i="1" s="1"/>
  <c r="DV64" i="1" s="1"/>
  <c r="DQ64" i="1"/>
  <c r="DJ64" i="1"/>
  <c r="DK64" i="1" s="1"/>
  <c r="DM64" i="1" s="1"/>
  <c r="DD64" i="1"/>
  <c r="DE64" i="1" s="1"/>
  <c r="DG64" i="1" s="1"/>
  <c r="CX64" i="1"/>
  <c r="CY64" i="1" s="1"/>
  <c r="DA64" i="1" s="1"/>
  <c r="CV64" i="1"/>
  <c r="CO64" i="1"/>
  <c r="CP64" i="1" s="1"/>
  <c r="CR64" i="1" s="1"/>
  <c r="CI64" i="1"/>
  <c r="CJ64" i="1" s="1"/>
  <c r="CL64" i="1" s="1"/>
  <c r="CC64" i="1"/>
  <c r="CD64" i="1" s="1"/>
  <c r="CF64" i="1" s="1"/>
  <c r="CA64" i="1"/>
  <c r="BU64" i="1"/>
  <c r="BT64" i="1"/>
  <c r="BL64" i="1"/>
  <c r="AY64" i="1"/>
  <c r="AX64" i="1"/>
  <c r="AZ64" i="1" s="1"/>
  <c r="BD64" i="1"/>
  <c r="AI64" i="1"/>
  <c r="AK64" i="1" s="1"/>
  <c r="AM64" i="1" s="1"/>
  <c r="AH74" i="1"/>
  <c r="AD74" i="1"/>
  <c r="Z74" i="1"/>
  <c r="U74" i="1"/>
  <c r="V74" i="1" s="1"/>
  <c r="N74" i="1"/>
  <c r="AA63" i="1"/>
  <c r="W63" i="1"/>
  <c r="EE63" i="1"/>
  <c r="EF63" i="1" s="1"/>
  <c r="EH63" i="1" s="1"/>
  <c r="DY63" i="1"/>
  <c r="DZ63" i="1" s="1"/>
  <c r="EB63" i="1" s="1"/>
  <c r="DS63" i="1"/>
  <c r="DT63" i="1" s="1"/>
  <c r="DV63" i="1" s="1"/>
  <c r="DQ63" i="1"/>
  <c r="DJ63" i="1"/>
  <c r="DK63" i="1" s="1"/>
  <c r="DM63" i="1" s="1"/>
  <c r="DD63" i="1"/>
  <c r="DE63" i="1" s="1"/>
  <c r="DG63" i="1" s="1"/>
  <c r="CX63" i="1"/>
  <c r="CY63" i="1" s="1"/>
  <c r="DA63" i="1" s="1"/>
  <c r="CV63" i="1"/>
  <c r="CO63" i="1"/>
  <c r="CP63" i="1" s="1"/>
  <c r="CR63" i="1" s="1"/>
  <c r="CI63" i="1"/>
  <c r="CJ63" i="1" s="1"/>
  <c r="CL63" i="1" s="1"/>
  <c r="CC63" i="1"/>
  <c r="CD63" i="1" s="1"/>
  <c r="CF63" i="1" s="1"/>
  <c r="CA63" i="1"/>
  <c r="BU63" i="1"/>
  <c r="BU73" i="1" s="1"/>
  <c r="BT63" i="1"/>
  <c r="BT73" i="1" s="1"/>
  <c r="BL63" i="1"/>
  <c r="AY63" i="1"/>
  <c r="AX63" i="1"/>
  <c r="BD63" i="1"/>
  <c r="AI63" i="1"/>
  <c r="AH73" i="1"/>
  <c r="BD73" i="1" s="1"/>
  <c r="AD73" i="1"/>
  <c r="Z73" i="1"/>
  <c r="U73" i="1"/>
  <c r="V73" i="1" s="1"/>
  <c r="N73" i="1"/>
  <c r="EE58" i="1"/>
  <c r="EF58" i="1" s="1"/>
  <c r="EH58" i="1" s="1"/>
  <c r="DY58" i="1"/>
  <c r="DZ58" i="1" s="1"/>
  <c r="EB58" i="1" s="1"/>
  <c r="DS58" i="1"/>
  <c r="DT58" i="1" s="1"/>
  <c r="DV58" i="1" s="1"/>
  <c r="DQ58" i="1"/>
  <c r="DJ58" i="1"/>
  <c r="DK58" i="1" s="1"/>
  <c r="DM58" i="1" s="1"/>
  <c r="DD58" i="1"/>
  <c r="DE58" i="1" s="1"/>
  <c r="DG58" i="1" s="1"/>
  <c r="CX58" i="1"/>
  <c r="CY58" i="1" s="1"/>
  <c r="DA58" i="1" s="1"/>
  <c r="CV58" i="1"/>
  <c r="CO58" i="1"/>
  <c r="CP58" i="1" s="1"/>
  <c r="CR58" i="1" s="1"/>
  <c r="CI58" i="1"/>
  <c r="CJ58" i="1" s="1"/>
  <c r="CL58" i="1" s="1"/>
  <c r="CC58" i="1"/>
  <c r="CD58" i="1" s="1"/>
  <c r="CF58" i="1" s="1"/>
  <c r="CA58" i="1"/>
  <c r="AY58" i="1"/>
  <c r="BD58" i="1"/>
  <c r="AK58" i="1"/>
  <c r="AM58" i="1" s="1"/>
  <c r="EE57" i="1"/>
  <c r="EF57" i="1" s="1"/>
  <c r="EH57" i="1" s="1"/>
  <c r="DY57" i="1"/>
  <c r="DZ57" i="1" s="1"/>
  <c r="EB57" i="1" s="1"/>
  <c r="DS57" i="1"/>
  <c r="DT57" i="1" s="1"/>
  <c r="DV57" i="1" s="1"/>
  <c r="DQ57" i="1"/>
  <c r="DJ57" i="1"/>
  <c r="DK57" i="1" s="1"/>
  <c r="DM57" i="1" s="1"/>
  <c r="DD57" i="1"/>
  <c r="DE57" i="1" s="1"/>
  <c r="DG57" i="1" s="1"/>
  <c r="CX57" i="1"/>
  <c r="CY57" i="1" s="1"/>
  <c r="DA57" i="1" s="1"/>
  <c r="CV57" i="1"/>
  <c r="CO57" i="1"/>
  <c r="CP57" i="1" s="1"/>
  <c r="CR57" i="1" s="1"/>
  <c r="CI57" i="1"/>
  <c r="CJ57" i="1" s="1"/>
  <c r="CL57" i="1" s="1"/>
  <c r="CC57" i="1"/>
  <c r="CD57" i="1" s="1"/>
  <c r="CF57" i="1" s="1"/>
  <c r="CA57" i="1"/>
  <c r="AY57" i="1"/>
  <c r="BD57" i="1"/>
  <c r="AK57" i="1"/>
  <c r="AM57" i="1" s="1"/>
  <c r="EE56" i="1"/>
  <c r="EF56" i="1" s="1"/>
  <c r="EH56" i="1" s="1"/>
  <c r="DY56" i="1"/>
  <c r="DZ56" i="1" s="1"/>
  <c r="EB56" i="1" s="1"/>
  <c r="DS56" i="1"/>
  <c r="DT56" i="1" s="1"/>
  <c r="DV56" i="1" s="1"/>
  <c r="DQ56" i="1"/>
  <c r="DJ56" i="1"/>
  <c r="DK56" i="1" s="1"/>
  <c r="DM56" i="1" s="1"/>
  <c r="DD56" i="1"/>
  <c r="DE56" i="1" s="1"/>
  <c r="DG56" i="1" s="1"/>
  <c r="CX56" i="1"/>
  <c r="CY56" i="1" s="1"/>
  <c r="DA56" i="1" s="1"/>
  <c r="CV56" i="1"/>
  <c r="CO56" i="1"/>
  <c r="CP56" i="1" s="1"/>
  <c r="CR56" i="1" s="1"/>
  <c r="CI56" i="1"/>
  <c r="CJ56" i="1" s="1"/>
  <c r="CL56" i="1" s="1"/>
  <c r="CC56" i="1"/>
  <c r="CD56" i="1" s="1"/>
  <c r="CF56" i="1" s="1"/>
  <c r="CA56" i="1"/>
  <c r="AY56" i="1"/>
  <c r="BD56" i="1"/>
  <c r="AK56" i="1"/>
  <c r="AM56" i="1" s="1"/>
  <c r="Q61" i="1"/>
  <c r="BH51" i="1"/>
  <c r="AB51" i="1" s="1"/>
  <c r="AC51" i="1" s="1"/>
  <c r="S51" i="1"/>
  <c r="R51" i="1"/>
  <c r="EE51" i="1"/>
  <c r="EF51" i="1" s="1"/>
  <c r="EH51" i="1" s="1"/>
  <c r="DY51" i="1"/>
  <c r="DZ51" i="1" s="1"/>
  <c r="EB51" i="1" s="1"/>
  <c r="DS51" i="1"/>
  <c r="DT51" i="1" s="1"/>
  <c r="DV51" i="1" s="1"/>
  <c r="DQ51" i="1"/>
  <c r="DJ51" i="1"/>
  <c r="DK51" i="1" s="1"/>
  <c r="DM51" i="1" s="1"/>
  <c r="DD51" i="1"/>
  <c r="DE51" i="1" s="1"/>
  <c r="DG51" i="1" s="1"/>
  <c r="CX51" i="1"/>
  <c r="CY51" i="1" s="1"/>
  <c r="DA51" i="1" s="1"/>
  <c r="CV51" i="1"/>
  <c r="CO51" i="1"/>
  <c r="CP51" i="1" s="1"/>
  <c r="CR51" i="1" s="1"/>
  <c r="CI51" i="1"/>
  <c r="CJ51" i="1" s="1"/>
  <c r="CL51" i="1" s="1"/>
  <c r="CC51" i="1"/>
  <c r="CD51" i="1" s="1"/>
  <c r="CF51" i="1" s="1"/>
  <c r="CA51" i="1"/>
  <c r="BU51" i="1"/>
  <c r="BT51" i="1"/>
  <c r="BL51" i="1"/>
  <c r="AY51" i="1"/>
  <c r="AX51" i="1"/>
  <c r="AZ51" i="1" s="1"/>
  <c r="BD51" i="1"/>
  <c r="AK51" i="1"/>
  <c r="AM51" i="1" s="1"/>
  <c r="AH61" i="1"/>
  <c r="AD61" i="1"/>
  <c r="Q57" i="1"/>
  <c r="BH50" i="1"/>
  <c r="AB50" i="1" s="1"/>
  <c r="AC50" i="1" s="1"/>
  <c r="S50" i="1"/>
  <c r="R50" i="1"/>
  <c r="EE50" i="1"/>
  <c r="EF50" i="1" s="1"/>
  <c r="EH50" i="1" s="1"/>
  <c r="DY50" i="1"/>
  <c r="DZ50" i="1" s="1"/>
  <c r="EB50" i="1" s="1"/>
  <c r="DS50" i="1"/>
  <c r="DT50" i="1" s="1"/>
  <c r="DV50" i="1" s="1"/>
  <c r="DQ50" i="1"/>
  <c r="DJ50" i="1"/>
  <c r="DK50" i="1" s="1"/>
  <c r="DM50" i="1" s="1"/>
  <c r="DD50" i="1"/>
  <c r="DE50" i="1" s="1"/>
  <c r="DG50" i="1" s="1"/>
  <c r="CX50" i="1"/>
  <c r="CY50" i="1" s="1"/>
  <c r="DA50" i="1" s="1"/>
  <c r="CV50" i="1"/>
  <c r="CO50" i="1"/>
  <c r="CP50" i="1" s="1"/>
  <c r="CR50" i="1" s="1"/>
  <c r="CI50" i="1"/>
  <c r="CJ50" i="1" s="1"/>
  <c r="CL50" i="1" s="1"/>
  <c r="CC50" i="1"/>
  <c r="CD50" i="1" s="1"/>
  <c r="CF50" i="1" s="1"/>
  <c r="CA50" i="1"/>
  <c r="BU50" i="1"/>
  <c r="BT50" i="1"/>
  <c r="BL50" i="1"/>
  <c r="AY50" i="1"/>
  <c r="AX50" i="1"/>
  <c r="AZ50" i="1" s="1"/>
  <c r="BD50" i="1"/>
  <c r="AK50" i="1"/>
  <c r="AM50" i="1" s="1"/>
  <c r="AH60" i="1"/>
  <c r="AD60" i="1"/>
  <c r="Q60" i="1"/>
  <c r="Q59" i="1"/>
  <c r="Q58" i="1"/>
  <c r="BH49" i="1"/>
  <c r="AB49" i="1" s="1"/>
  <c r="AC49" i="1" s="1"/>
  <c r="S49" i="1"/>
  <c r="R49" i="1"/>
  <c r="EE49" i="1"/>
  <c r="EF49" i="1" s="1"/>
  <c r="EH49" i="1" s="1"/>
  <c r="DY49" i="1"/>
  <c r="DZ49" i="1" s="1"/>
  <c r="EB49" i="1" s="1"/>
  <c r="DS49" i="1"/>
  <c r="DT49" i="1" s="1"/>
  <c r="DV49" i="1" s="1"/>
  <c r="DQ49" i="1"/>
  <c r="DJ49" i="1"/>
  <c r="DK49" i="1" s="1"/>
  <c r="DM49" i="1" s="1"/>
  <c r="DD49" i="1"/>
  <c r="DE49" i="1" s="1"/>
  <c r="DG49" i="1" s="1"/>
  <c r="CX49" i="1"/>
  <c r="CY49" i="1" s="1"/>
  <c r="DA49" i="1" s="1"/>
  <c r="CV49" i="1"/>
  <c r="CO49" i="1"/>
  <c r="CP49" i="1" s="1"/>
  <c r="CR49" i="1" s="1"/>
  <c r="CI49" i="1"/>
  <c r="CJ49" i="1" s="1"/>
  <c r="CL49" i="1" s="1"/>
  <c r="CC49" i="1"/>
  <c r="CD49" i="1" s="1"/>
  <c r="CF49" i="1" s="1"/>
  <c r="CA49" i="1"/>
  <c r="BU49" i="1"/>
  <c r="BU59" i="1" s="1"/>
  <c r="BT49" i="1"/>
  <c r="BT59" i="1" s="1"/>
  <c r="BL49" i="1"/>
  <c r="AY49" i="1"/>
  <c r="AX49" i="1"/>
  <c r="BD49" i="1"/>
  <c r="AK49" i="1"/>
  <c r="AH59" i="1"/>
  <c r="BD59" i="1" s="1"/>
  <c r="AD59" i="1"/>
  <c r="BW48" i="1"/>
  <c r="BV48" i="1"/>
  <c r="BO48" i="1"/>
  <c r="BN48" i="1"/>
  <c r="BM48" i="1"/>
  <c r="BJ48" i="1"/>
  <c r="BA48" i="1"/>
  <c r="AE48" i="1"/>
  <c r="AF48" i="1" s="1"/>
  <c r="M48" i="1"/>
  <c r="AC58" i="1"/>
  <c r="EI48" i="1"/>
  <c r="EC48" i="1"/>
  <c r="DW48" i="1"/>
  <c r="DN48" i="1"/>
  <c r="DH48" i="1"/>
  <c r="DB48" i="1"/>
  <c r="CS48" i="1"/>
  <c r="CM48" i="1"/>
  <c r="CG48" i="1"/>
  <c r="BE48" i="1"/>
  <c r="BW47" i="1"/>
  <c r="BV47" i="1"/>
  <c r="BO47" i="1"/>
  <c r="BN47" i="1"/>
  <c r="BM47" i="1"/>
  <c r="BJ47" i="1"/>
  <c r="BA47" i="1"/>
  <c r="AE47" i="1"/>
  <c r="AF47" i="1" s="1"/>
  <c r="M47" i="1"/>
  <c r="AC57" i="1"/>
  <c r="EI47" i="1"/>
  <c r="EC47" i="1"/>
  <c r="DW47" i="1"/>
  <c r="DN47" i="1"/>
  <c r="DH47" i="1"/>
  <c r="DB47" i="1"/>
  <c r="CS47" i="1"/>
  <c r="CM47" i="1"/>
  <c r="CG47" i="1"/>
  <c r="BE47" i="1"/>
  <c r="AX58" i="1"/>
  <c r="AZ58" i="1" s="1"/>
  <c r="AX57" i="1"/>
  <c r="AZ57" i="1" s="1"/>
  <c r="AX56" i="1"/>
  <c r="AZ56" i="1" s="1"/>
  <c r="AZ46" i="1"/>
  <c r="BW46" i="1"/>
  <c r="BW56" i="1" s="1"/>
  <c r="BV46" i="1"/>
  <c r="BV56" i="1" s="1"/>
  <c r="BO46" i="1"/>
  <c r="BO56" i="1" s="1"/>
  <c r="BN46" i="1"/>
  <c r="BN56" i="1" s="1"/>
  <c r="BM46" i="1"/>
  <c r="BM56" i="1" s="1"/>
  <c r="BJ46" i="1"/>
  <c r="BA46" i="1"/>
  <c r="AE46" i="1"/>
  <c r="AF46" i="1" s="1"/>
  <c r="M46" i="1"/>
  <c r="AC56" i="1"/>
  <c r="EI46" i="1"/>
  <c r="EC46" i="1"/>
  <c r="DW46" i="1"/>
  <c r="DN46" i="1"/>
  <c r="DH46" i="1"/>
  <c r="DB46" i="1"/>
  <c r="CS46" i="1"/>
  <c r="CM46" i="1"/>
  <c r="CG46" i="1"/>
  <c r="BE46" i="1"/>
  <c r="BH56" i="1"/>
  <c r="AB56" i="1" s="1"/>
  <c r="S56" i="1"/>
  <c r="R56" i="1"/>
  <c r="BH45" i="1"/>
  <c r="AB45" i="1" s="1"/>
  <c r="AC45" i="1" s="1"/>
  <c r="S45" i="1"/>
  <c r="R45" i="1"/>
  <c r="EE45" i="1"/>
  <c r="EF45" i="1" s="1"/>
  <c r="EH45" i="1" s="1"/>
  <c r="DY45" i="1"/>
  <c r="DZ45" i="1" s="1"/>
  <c r="EB45" i="1" s="1"/>
  <c r="DS45" i="1"/>
  <c r="DT45" i="1" s="1"/>
  <c r="DV45" i="1" s="1"/>
  <c r="DQ45" i="1"/>
  <c r="DJ45" i="1"/>
  <c r="DK45" i="1" s="1"/>
  <c r="DM45" i="1" s="1"/>
  <c r="DD45" i="1"/>
  <c r="DE45" i="1" s="1"/>
  <c r="DG45" i="1" s="1"/>
  <c r="CX45" i="1"/>
  <c r="CY45" i="1" s="1"/>
  <c r="DA45" i="1" s="1"/>
  <c r="CV45" i="1"/>
  <c r="CO45" i="1"/>
  <c r="CP45" i="1" s="1"/>
  <c r="CR45" i="1" s="1"/>
  <c r="CI45" i="1"/>
  <c r="CJ45" i="1" s="1"/>
  <c r="CL45" i="1" s="1"/>
  <c r="CC45" i="1"/>
  <c r="CD45" i="1" s="1"/>
  <c r="CF45" i="1" s="1"/>
  <c r="CA45" i="1"/>
  <c r="BU45" i="1"/>
  <c r="BT45" i="1"/>
  <c r="BL45" i="1"/>
  <c r="AY45" i="1"/>
  <c r="AX45" i="1"/>
  <c r="AZ45" i="1" s="1"/>
  <c r="BD45" i="1"/>
  <c r="AK45" i="1"/>
  <c r="AM45" i="1" s="1"/>
  <c r="AH55" i="1"/>
  <c r="AD55" i="1"/>
  <c r="BH44" i="1"/>
  <c r="AB44" i="1" s="1"/>
  <c r="AC44" i="1" s="1"/>
  <c r="S44" i="1"/>
  <c r="R44" i="1"/>
  <c r="EE44" i="1"/>
  <c r="EF44" i="1" s="1"/>
  <c r="EH44" i="1" s="1"/>
  <c r="DY44" i="1"/>
  <c r="DZ44" i="1" s="1"/>
  <c r="EB44" i="1" s="1"/>
  <c r="DS44" i="1"/>
  <c r="DT44" i="1" s="1"/>
  <c r="DV44" i="1" s="1"/>
  <c r="DQ44" i="1"/>
  <c r="DJ44" i="1"/>
  <c r="DK44" i="1" s="1"/>
  <c r="DM44" i="1" s="1"/>
  <c r="DD44" i="1"/>
  <c r="DE44" i="1" s="1"/>
  <c r="DG44" i="1" s="1"/>
  <c r="CX44" i="1"/>
  <c r="CY44" i="1" s="1"/>
  <c r="DA44" i="1" s="1"/>
  <c r="CV44" i="1"/>
  <c r="CO44" i="1"/>
  <c r="CP44" i="1" s="1"/>
  <c r="CR44" i="1" s="1"/>
  <c r="CI44" i="1"/>
  <c r="CJ44" i="1" s="1"/>
  <c r="CL44" i="1" s="1"/>
  <c r="CC44" i="1"/>
  <c r="CD44" i="1" s="1"/>
  <c r="CF44" i="1" s="1"/>
  <c r="CA44" i="1"/>
  <c r="BU44" i="1"/>
  <c r="BT44" i="1"/>
  <c r="BL44" i="1"/>
  <c r="AY44" i="1"/>
  <c r="AX44" i="1"/>
  <c r="AZ44" i="1" s="1"/>
  <c r="BD44" i="1"/>
  <c r="AK44" i="1"/>
  <c r="AM44" i="1" s="1"/>
  <c r="AH54" i="1"/>
  <c r="AD54" i="1"/>
  <c r="Q55" i="1"/>
  <c r="Q54" i="1"/>
  <c r="Q53" i="1"/>
  <c r="BH43" i="1"/>
  <c r="AB43" i="1" s="1"/>
  <c r="AC43" i="1" s="1"/>
  <c r="S43" i="1"/>
  <c r="R43" i="1"/>
  <c r="EE43" i="1"/>
  <c r="EF43" i="1" s="1"/>
  <c r="EH43" i="1" s="1"/>
  <c r="DY43" i="1"/>
  <c r="DZ43" i="1" s="1"/>
  <c r="EB43" i="1" s="1"/>
  <c r="DS43" i="1"/>
  <c r="DT43" i="1" s="1"/>
  <c r="DV43" i="1" s="1"/>
  <c r="DQ43" i="1"/>
  <c r="DJ43" i="1"/>
  <c r="DK43" i="1" s="1"/>
  <c r="DM43" i="1" s="1"/>
  <c r="DD43" i="1"/>
  <c r="DE43" i="1" s="1"/>
  <c r="DG43" i="1" s="1"/>
  <c r="CX43" i="1"/>
  <c r="CY43" i="1" s="1"/>
  <c r="DA43" i="1" s="1"/>
  <c r="CV43" i="1"/>
  <c r="CO43" i="1"/>
  <c r="CP43" i="1" s="1"/>
  <c r="CR43" i="1" s="1"/>
  <c r="CI43" i="1"/>
  <c r="CJ43" i="1" s="1"/>
  <c r="CL43" i="1" s="1"/>
  <c r="CC43" i="1"/>
  <c r="CD43" i="1" s="1"/>
  <c r="CF43" i="1" s="1"/>
  <c r="CA43" i="1"/>
  <c r="BU43" i="1"/>
  <c r="BU53" i="1" s="1"/>
  <c r="BT43" i="1"/>
  <c r="BT53" i="1" s="1"/>
  <c r="BL43" i="1"/>
  <c r="AY43" i="1"/>
  <c r="AX43" i="1"/>
  <c r="BD43" i="1"/>
  <c r="AK43" i="1"/>
  <c r="AH53" i="1"/>
  <c r="BD53" i="1" s="1"/>
  <c r="AD53" i="1"/>
  <c r="AA35" i="1"/>
  <c r="W35" i="1"/>
  <c r="EE35" i="1"/>
  <c r="EF35" i="1" s="1"/>
  <c r="EH35" i="1" s="1"/>
  <c r="DY35" i="1"/>
  <c r="DZ35" i="1" s="1"/>
  <c r="EB35" i="1" s="1"/>
  <c r="DS35" i="1"/>
  <c r="DT35" i="1" s="1"/>
  <c r="DV35" i="1" s="1"/>
  <c r="DQ35" i="1"/>
  <c r="DJ35" i="1"/>
  <c r="DK35" i="1" s="1"/>
  <c r="DM35" i="1" s="1"/>
  <c r="DD35" i="1"/>
  <c r="DE35" i="1" s="1"/>
  <c r="DG35" i="1" s="1"/>
  <c r="CX35" i="1"/>
  <c r="CY35" i="1" s="1"/>
  <c r="DA35" i="1" s="1"/>
  <c r="CV35" i="1"/>
  <c r="CO35" i="1"/>
  <c r="CP35" i="1" s="1"/>
  <c r="CR35" i="1" s="1"/>
  <c r="CI35" i="1"/>
  <c r="CJ35" i="1" s="1"/>
  <c r="CL35" i="1" s="1"/>
  <c r="CC35" i="1"/>
  <c r="CD35" i="1" s="1"/>
  <c r="CF35" i="1" s="1"/>
  <c r="CA35" i="1"/>
  <c r="AF35" i="1"/>
  <c r="BD35" i="1"/>
  <c r="AK35" i="1"/>
  <c r="AM35" i="1" s="1"/>
  <c r="AA34" i="1"/>
  <c r="W34" i="1"/>
  <c r="EE34" i="1"/>
  <c r="EF34" i="1" s="1"/>
  <c r="EH34" i="1" s="1"/>
  <c r="DY34" i="1"/>
  <c r="DZ34" i="1" s="1"/>
  <c r="EB34" i="1" s="1"/>
  <c r="DS34" i="1"/>
  <c r="DT34" i="1" s="1"/>
  <c r="DV34" i="1" s="1"/>
  <c r="DQ34" i="1"/>
  <c r="DJ34" i="1"/>
  <c r="DK34" i="1" s="1"/>
  <c r="DM34" i="1" s="1"/>
  <c r="DD34" i="1"/>
  <c r="DE34" i="1" s="1"/>
  <c r="DG34" i="1" s="1"/>
  <c r="CX34" i="1"/>
  <c r="CY34" i="1" s="1"/>
  <c r="DA34" i="1" s="1"/>
  <c r="CV34" i="1"/>
  <c r="CO34" i="1"/>
  <c r="CP34" i="1" s="1"/>
  <c r="CR34" i="1" s="1"/>
  <c r="CI34" i="1"/>
  <c r="CJ34" i="1" s="1"/>
  <c r="CL34" i="1" s="1"/>
  <c r="CC34" i="1"/>
  <c r="CD34" i="1" s="1"/>
  <c r="CF34" i="1" s="1"/>
  <c r="CA34" i="1"/>
  <c r="AF34" i="1"/>
  <c r="BD34" i="1"/>
  <c r="AK34" i="1"/>
  <c r="AM34" i="1" s="1"/>
  <c r="AA33" i="1"/>
  <c r="W33" i="1"/>
  <c r="EE33" i="1"/>
  <c r="EF33" i="1" s="1"/>
  <c r="EH33" i="1" s="1"/>
  <c r="DY33" i="1"/>
  <c r="DZ33" i="1" s="1"/>
  <c r="EB33" i="1" s="1"/>
  <c r="DS33" i="1"/>
  <c r="DT33" i="1" s="1"/>
  <c r="DV33" i="1" s="1"/>
  <c r="DQ33" i="1"/>
  <c r="DJ33" i="1"/>
  <c r="DK33" i="1" s="1"/>
  <c r="DM33" i="1" s="1"/>
  <c r="DD33" i="1"/>
  <c r="DE33" i="1" s="1"/>
  <c r="DG33" i="1" s="1"/>
  <c r="CX33" i="1"/>
  <c r="CY33" i="1" s="1"/>
  <c r="DA33" i="1" s="1"/>
  <c r="CV33" i="1"/>
  <c r="CO33" i="1"/>
  <c r="CP33" i="1" s="1"/>
  <c r="CR33" i="1" s="1"/>
  <c r="CI33" i="1"/>
  <c r="CJ33" i="1" s="1"/>
  <c r="CL33" i="1" s="1"/>
  <c r="CC33" i="1"/>
  <c r="CD33" i="1" s="1"/>
  <c r="CF33" i="1" s="1"/>
  <c r="CA33" i="1"/>
  <c r="AF33" i="1"/>
  <c r="Q41" i="1"/>
  <c r="BH31" i="1"/>
  <c r="AB31" i="1" s="1"/>
  <c r="AC31" i="1" s="1"/>
  <c r="S31" i="1"/>
  <c r="R31" i="1"/>
  <c r="AA31" i="1"/>
  <c r="W31" i="1"/>
  <c r="EE31" i="1"/>
  <c r="EF31" i="1" s="1"/>
  <c r="EH31" i="1" s="1"/>
  <c r="DY31" i="1"/>
  <c r="DZ31" i="1" s="1"/>
  <c r="EB31" i="1" s="1"/>
  <c r="DS31" i="1"/>
  <c r="DT31" i="1" s="1"/>
  <c r="DV31" i="1" s="1"/>
  <c r="DQ31" i="1"/>
  <c r="DJ31" i="1"/>
  <c r="DK31" i="1" s="1"/>
  <c r="DM31" i="1" s="1"/>
  <c r="DD31" i="1"/>
  <c r="DE31" i="1" s="1"/>
  <c r="DG31" i="1" s="1"/>
  <c r="CX31" i="1"/>
  <c r="CY31" i="1" s="1"/>
  <c r="DA31" i="1" s="1"/>
  <c r="CV31" i="1"/>
  <c r="CO31" i="1"/>
  <c r="CP31" i="1" s="1"/>
  <c r="CR31" i="1" s="1"/>
  <c r="CI31" i="1"/>
  <c r="CJ31" i="1" s="1"/>
  <c r="CL31" i="1" s="1"/>
  <c r="CC31" i="1"/>
  <c r="CD31" i="1" s="1"/>
  <c r="CF31" i="1" s="1"/>
  <c r="CA31" i="1"/>
  <c r="BU31" i="1"/>
  <c r="BT31" i="1"/>
  <c r="BL31" i="1"/>
  <c r="AX31" i="1"/>
  <c r="AZ31" i="1" s="1"/>
  <c r="AF31" i="1"/>
  <c r="BD31" i="1"/>
  <c r="AK31" i="1"/>
  <c r="AM31" i="1" s="1"/>
  <c r="AH41" i="1"/>
  <c r="AD41" i="1"/>
  <c r="Z41" i="1"/>
  <c r="U41" i="1"/>
  <c r="V41" i="1" s="1"/>
  <c r="N41" i="1"/>
  <c r="Q37" i="1"/>
  <c r="BH30" i="1"/>
  <c r="AB30" i="1" s="1"/>
  <c r="AC30" i="1" s="1"/>
  <c r="S30" i="1"/>
  <c r="R30" i="1"/>
  <c r="AA30" i="1"/>
  <c r="W30" i="1"/>
  <c r="EE30" i="1"/>
  <c r="EF30" i="1" s="1"/>
  <c r="EH30" i="1" s="1"/>
  <c r="DY30" i="1"/>
  <c r="DZ30" i="1" s="1"/>
  <c r="EB30" i="1" s="1"/>
  <c r="DS30" i="1"/>
  <c r="DT30" i="1" s="1"/>
  <c r="DV30" i="1" s="1"/>
  <c r="DQ30" i="1"/>
  <c r="DJ30" i="1"/>
  <c r="DK30" i="1" s="1"/>
  <c r="DM30" i="1" s="1"/>
  <c r="DD30" i="1"/>
  <c r="DE30" i="1" s="1"/>
  <c r="DG30" i="1" s="1"/>
  <c r="CX30" i="1"/>
  <c r="CY30" i="1" s="1"/>
  <c r="DA30" i="1" s="1"/>
  <c r="CV30" i="1"/>
  <c r="CO30" i="1"/>
  <c r="CP30" i="1" s="1"/>
  <c r="CR30" i="1" s="1"/>
  <c r="CI30" i="1"/>
  <c r="CJ30" i="1" s="1"/>
  <c r="CL30" i="1" s="1"/>
  <c r="CC30" i="1"/>
  <c r="CD30" i="1" s="1"/>
  <c r="CF30" i="1" s="1"/>
  <c r="CA30" i="1"/>
  <c r="BU30" i="1"/>
  <c r="BT30" i="1"/>
  <c r="BL30" i="1"/>
  <c r="AX30" i="1"/>
  <c r="AZ30" i="1" s="1"/>
  <c r="AF30" i="1"/>
  <c r="BD30" i="1"/>
  <c r="AK30" i="1"/>
  <c r="AM30" i="1" s="1"/>
  <c r="AH40" i="1"/>
  <c r="AD40" i="1"/>
  <c r="Z40" i="1"/>
  <c r="U40" i="1"/>
  <c r="V40" i="1" s="1"/>
  <c r="N40" i="1"/>
  <c r="Q40" i="1"/>
  <c r="Q39" i="1"/>
  <c r="Q38" i="1"/>
  <c r="BH29" i="1"/>
  <c r="AB29" i="1" s="1"/>
  <c r="AC29" i="1" s="1"/>
  <c r="S29" i="1"/>
  <c r="R29" i="1"/>
  <c r="AA29" i="1"/>
  <c r="W29" i="1"/>
  <c r="EE29" i="1"/>
  <c r="EF29" i="1" s="1"/>
  <c r="EH29" i="1" s="1"/>
  <c r="DY29" i="1"/>
  <c r="DZ29" i="1" s="1"/>
  <c r="EB29" i="1" s="1"/>
  <c r="DS29" i="1"/>
  <c r="DT29" i="1" s="1"/>
  <c r="DV29" i="1" s="1"/>
  <c r="DQ29" i="1"/>
  <c r="DJ29" i="1"/>
  <c r="DK29" i="1" s="1"/>
  <c r="DM29" i="1" s="1"/>
  <c r="DD29" i="1"/>
  <c r="DE29" i="1" s="1"/>
  <c r="DG29" i="1" s="1"/>
  <c r="CX29" i="1"/>
  <c r="CY29" i="1" s="1"/>
  <c r="DA29" i="1" s="1"/>
  <c r="CV29" i="1"/>
  <c r="CO29" i="1"/>
  <c r="CP29" i="1" s="1"/>
  <c r="CR29" i="1" s="1"/>
  <c r="CI29" i="1"/>
  <c r="CJ29" i="1" s="1"/>
  <c r="CL29" i="1" s="1"/>
  <c r="CC29" i="1"/>
  <c r="CD29" i="1" s="1"/>
  <c r="CF29" i="1" s="1"/>
  <c r="CA29" i="1"/>
  <c r="BU29" i="1"/>
  <c r="BU39" i="1" s="1"/>
  <c r="BT29" i="1"/>
  <c r="BT39" i="1" s="1"/>
  <c r="BL29" i="1"/>
  <c r="AX29" i="1"/>
  <c r="AF29" i="1"/>
  <c r="BD29" i="1"/>
  <c r="AK29" i="1"/>
  <c r="AH39" i="1"/>
  <c r="BD39" i="1" s="1"/>
  <c r="AD39" i="1"/>
  <c r="Z39" i="1"/>
  <c r="U39" i="1"/>
  <c r="V39" i="1" s="1"/>
  <c r="N39" i="1"/>
  <c r="BH28" i="1"/>
  <c r="AB28" i="1" s="1"/>
  <c r="AC28" i="1" s="1"/>
  <c r="S28" i="1"/>
  <c r="R28" i="1"/>
  <c r="AA28" i="1"/>
  <c r="W28" i="1"/>
  <c r="EE28" i="1"/>
  <c r="EF28" i="1" s="1"/>
  <c r="EH28" i="1" s="1"/>
  <c r="DY28" i="1"/>
  <c r="DZ28" i="1" s="1"/>
  <c r="EB28" i="1" s="1"/>
  <c r="DS28" i="1"/>
  <c r="DT28" i="1" s="1"/>
  <c r="DV28" i="1" s="1"/>
  <c r="DQ28" i="1"/>
  <c r="DJ28" i="1"/>
  <c r="DK28" i="1" s="1"/>
  <c r="DM28" i="1" s="1"/>
  <c r="DD28" i="1"/>
  <c r="DE28" i="1" s="1"/>
  <c r="DG28" i="1" s="1"/>
  <c r="CX28" i="1"/>
  <c r="CY28" i="1" s="1"/>
  <c r="DA28" i="1" s="1"/>
  <c r="CV28" i="1"/>
  <c r="CO28" i="1"/>
  <c r="CP28" i="1" s="1"/>
  <c r="CR28" i="1" s="1"/>
  <c r="CI28" i="1"/>
  <c r="CJ28" i="1" s="1"/>
  <c r="CL28" i="1" s="1"/>
  <c r="CC28" i="1"/>
  <c r="CD28" i="1" s="1"/>
  <c r="CF28" i="1" s="1"/>
  <c r="CA28" i="1"/>
  <c r="BU28" i="1"/>
  <c r="BT28" i="1"/>
  <c r="BL28" i="1"/>
  <c r="AX28" i="1"/>
  <c r="AZ28" i="1" s="1"/>
  <c r="AF28" i="1"/>
  <c r="BD28" i="1"/>
  <c r="AK28" i="1"/>
  <c r="AM28" i="1" s="1"/>
  <c r="AH38" i="1"/>
  <c r="AD38" i="1"/>
  <c r="Z38" i="1"/>
  <c r="U38" i="1"/>
  <c r="V38" i="1" s="1"/>
  <c r="N38" i="1"/>
  <c r="BH27" i="1"/>
  <c r="AB27" i="1" s="1"/>
  <c r="AC27" i="1" s="1"/>
  <c r="S27" i="1"/>
  <c r="R27" i="1"/>
  <c r="AA27" i="1"/>
  <c r="W27" i="1"/>
  <c r="EE27" i="1"/>
  <c r="EF27" i="1" s="1"/>
  <c r="EH27" i="1" s="1"/>
  <c r="DY27" i="1"/>
  <c r="DZ27" i="1" s="1"/>
  <c r="EB27" i="1" s="1"/>
  <c r="DS27" i="1"/>
  <c r="DT27" i="1" s="1"/>
  <c r="DV27" i="1" s="1"/>
  <c r="DQ27" i="1"/>
  <c r="DJ27" i="1"/>
  <c r="DK27" i="1" s="1"/>
  <c r="DM27" i="1" s="1"/>
  <c r="DD27" i="1"/>
  <c r="DE27" i="1" s="1"/>
  <c r="DG27" i="1" s="1"/>
  <c r="CX27" i="1"/>
  <c r="CY27" i="1" s="1"/>
  <c r="DA27" i="1" s="1"/>
  <c r="CV27" i="1"/>
  <c r="CO27" i="1"/>
  <c r="CP27" i="1" s="1"/>
  <c r="CR27" i="1" s="1"/>
  <c r="CI27" i="1"/>
  <c r="CJ27" i="1" s="1"/>
  <c r="CL27" i="1" s="1"/>
  <c r="CC27" i="1"/>
  <c r="CD27" i="1" s="1"/>
  <c r="CF27" i="1" s="1"/>
  <c r="CA27" i="1"/>
  <c r="BU27" i="1"/>
  <c r="BT27" i="1"/>
  <c r="BL27" i="1"/>
  <c r="AX27" i="1"/>
  <c r="AZ27" i="1" s="1"/>
  <c r="AF27" i="1"/>
  <c r="BD27" i="1"/>
  <c r="AK27" i="1"/>
  <c r="AM27" i="1" s="1"/>
  <c r="AH37" i="1"/>
  <c r="AD37" i="1"/>
  <c r="Z37" i="1"/>
  <c r="U37" i="1"/>
  <c r="V37" i="1" s="1"/>
  <c r="N37" i="1"/>
  <c r="Q36" i="1"/>
  <c r="BH26" i="1"/>
  <c r="AB26" i="1" s="1"/>
  <c r="AC26" i="1" s="1"/>
  <c r="S26" i="1"/>
  <c r="R26" i="1"/>
  <c r="AA26" i="1"/>
  <c r="W26" i="1"/>
  <c r="EE26" i="1"/>
  <c r="EF26" i="1" s="1"/>
  <c r="EH26" i="1" s="1"/>
  <c r="DY26" i="1"/>
  <c r="DZ26" i="1" s="1"/>
  <c r="EB26" i="1" s="1"/>
  <c r="DS26" i="1"/>
  <c r="DT26" i="1" s="1"/>
  <c r="DV26" i="1" s="1"/>
  <c r="DQ26" i="1"/>
  <c r="DJ26" i="1"/>
  <c r="DK26" i="1" s="1"/>
  <c r="DM26" i="1" s="1"/>
  <c r="DD26" i="1"/>
  <c r="DE26" i="1" s="1"/>
  <c r="DG26" i="1" s="1"/>
  <c r="CX26" i="1"/>
  <c r="CY26" i="1" s="1"/>
  <c r="DA26" i="1" s="1"/>
  <c r="CV26" i="1"/>
  <c r="CO26" i="1"/>
  <c r="CP26" i="1" s="1"/>
  <c r="CR26" i="1" s="1"/>
  <c r="CI26" i="1"/>
  <c r="CJ26" i="1" s="1"/>
  <c r="CL26" i="1" s="1"/>
  <c r="CC26" i="1"/>
  <c r="CD26" i="1" s="1"/>
  <c r="CF26" i="1" s="1"/>
  <c r="CA26" i="1"/>
  <c r="BU26" i="1"/>
  <c r="BU36" i="1" s="1"/>
  <c r="BT26" i="1"/>
  <c r="BT36" i="1" s="1"/>
  <c r="BL26" i="1"/>
  <c r="AX26" i="1"/>
  <c r="AF26" i="1"/>
  <c r="BD26" i="1"/>
  <c r="AK26" i="1"/>
  <c r="AM26" i="1" s="1"/>
  <c r="AH36" i="1"/>
  <c r="AD36" i="1"/>
  <c r="Z36" i="1"/>
  <c r="U36" i="1"/>
  <c r="V36" i="1" s="1"/>
  <c r="N36" i="1"/>
  <c r="AC35" i="1"/>
  <c r="EI25" i="1"/>
  <c r="EC25" i="1"/>
  <c r="DW25" i="1"/>
  <c r="DN25" i="1"/>
  <c r="DH25" i="1"/>
  <c r="DB25" i="1"/>
  <c r="CS25" i="1"/>
  <c r="CM25" i="1"/>
  <c r="CG25" i="1"/>
  <c r="BE25" i="1"/>
  <c r="AA25" i="1"/>
  <c r="W25" i="1"/>
  <c r="AC34" i="1"/>
  <c r="EI24" i="1"/>
  <c r="EC24" i="1"/>
  <c r="DW24" i="1"/>
  <c r="DN24" i="1"/>
  <c r="DH24" i="1"/>
  <c r="DB24" i="1"/>
  <c r="CS24" i="1"/>
  <c r="CM24" i="1"/>
  <c r="CG24" i="1"/>
  <c r="BE24" i="1"/>
  <c r="AA24" i="1"/>
  <c r="W24" i="1"/>
  <c r="AK33" i="1"/>
  <c r="AM33" i="1" s="1"/>
  <c r="AM23" i="1"/>
  <c r="AX35" i="1"/>
  <c r="AZ35" i="1" s="1"/>
  <c r="AX34" i="1"/>
  <c r="AZ34" i="1" s="1"/>
  <c r="AX33" i="1"/>
  <c r="AZ33" i="1" s="1"/>
  <c r="AZ23" i="1"/>
  <c r="AC33" i="1"/>
  <c r="EI23" i="1"/>
  <c r="EC23" i="1"/>
  <c r="DW23" i="1"/>
  <c r="DN23" i="1"/>
  <c r="DH23" i="1"/>
  <c r="DB23" i="1"/>
  <c r="CS23" i="1"/>
  <c r="CM23" i="1"/>
  <c r="CG23" i="1"/>
  <c r="BE23" i="1"/>
  <c r="BH33" i="1"/>
  <c r="AB33" i="1" s="1"/>
  <c r="S33" i="1"/>
  <c r="R33" i="1"/>
  <c r="BH34" i="1"/>
  <c r="AB34" i="1" s="1"/>
  <c r="S34" i="1"/>
  <c r="R34" i="1"/>
  <c r="BH35" i="1"/>
  <c r="AB35" i="1" s="1"/>
  <c r="S35" i="1"/>
  <c r="R35" i="1"/>
  <c r="AA23" i="1"/>
  <c r="W23" i="1"/>
  <c r="AA18" i="1"/>
  <c r="W18" i="1"/>
  <c r="EE18" i="1"/>
  <c r="EF18" i="1" s="1"/>
  <c r="EH18" i="1" s="1"/>
  <c r="DY18" i="1"/>
  <c r="DZ18" i="1" s="1"/>
  <c r="EB18" i="1" s="1"/>
  <c r="DS18" i="1"/>
  <c r="DT18" i="1" s="1"/>
  <c r="DV18" i="1" s="1"/>
  <c r="DQ18" i="1"/>
  <c r="DJ18" i="1"/>
  <c r="DK18" i="1" s="1"/>
  <c r="DM18" i="1" s="1"/>
  <c r="DD18" i="1"/>
  <c r="DE18" i="1" s="1"/>
  <c r="DG18" i="1" s="1"/>
  <c r="CX18" i="1"/>
  <c r="CY18" i="1" s="1"/>
  <c r="DA18" i="1" s="1"/>
  <c r="CV18" i="1"/>
  <c r="CO18" i="1"/>
  <c r="CP18" i="1" s="1"/>
  <c r="CR18" i="1" s="1"/>
  <c r="CI18" i="1"/>
  <c r="CJ18" i="1" s="1"/>
  <c r="CL18" i="1" s="1"/>
  <c r="CC18" i="1"/>
  <c r="CD18" i="1" s="1"/>
  <c r="CF18" i="1" s="1"/>
  <c r="CA18" i="1"/>
  <c r="AF18" i="1"/>
  <c r="BD18" i="1"/>
  <c r="AK18" i="1"/>
  <c r="AM18" i="1" s="1"/>
  <c r="AA17" i="1"/>
  <c r="W17" i="1"/>
  <c r="EE17" i="1"/>
  <c r="EF17" i="1" s="1"/>
  <c r="EH17" i="1" s="1"/>
  <c r="DY17" i="1"/>
  <c r="DZ17" i="1" s="1"/>
  <c r="EB17" i="1" s="1"/>
  <c r="DS17" i="1"/>
  <c r="DT17" i="1" s="1"/>
  <c r="DV17" i="1" s="1"/>
  <c r="DQ17" i="1"/>
  <c r="DJ17" i="1"/>
  <c r="DK17" i="1" s="1"/>
  <c r="DM17" i="1" s="1"/>
  <c r="DD17" i="1"/>
  <c r="DE17" i="1" s="1"/>
  <c r="DG17" i="1" s="1"/>
  <c r="CX17" i="1"/>
  <c r="CY17" i="1" s="1"/>
  <c r="DA17" i="1" s="1"/>
  <c r="CV17" i="1"/>
  <c r="CO17" i="1"/>
  <c r="CP17" i="1" s="1"/>
  <c r="CR17" i="1" s="1"/>
  <c r="CI17" i="1"/>
  <c r="CJ17" i="1" s="1"/>
  <c r="CL17" i="1" s="1"/>
  <c r="CC17" i="1"/>
  <c r="CD17" i="1" s="1"/>
  <c r="CF17" i="1" s="1"/>
  <c r="CA17" i="1"/>
  <c r="AF17" i="1"/>
  <c r="BD17" i="1"/>
  <c r="AK17" i="1"/>
  <c r="AM17" i="1" s="1"/>
  <c r="AA16" i="1"/>
  <c r="W16" i="1"/>
  <c r="EE16" i="1"/>
  <c r="EF16" i="1" s="1"/>
  <c r="EH16" i="1" s="1"/>
  <c r="DY16" i="1"/>
  <c r="DZ16" i="1" s="1"/>
  <c r="EB16" i="1" s="1"/>
  <c r="DS16" i="1"/>
  <c r="DT16" i="1" s="1"/>
  <c r="DV16" i="1" s="1"/>
  <c r="DQ16" i="1"/>
  <c r="DJ16" i="1"/>
  <c r="DK16" i="1" s="1"/>
  <c r="DM16" i="1" s="1"/>
  <c r="DD16" i="1"/>
  <c r="DE16" i="1" s="1"/>
  <c r="DG16" i="1" s="1"/>
  <c r="CX16" i="1"/>
  <c r="CY16" i="1" s="1"/>
  <c r="DA16" i="1" s="1"/>
  <c r="CV16" i="1"/>
  <c r="CO16" i="1"/>
  <c r="CP16" i="1" s="1"/>
  <c r="CR16" i="1" s="1"/>
  <c r="CI16" i="1"/>
  <c r="CJ16" i="1" s="1"/>
  <c r="CL16" i="1" s="1"/>
  <c r="CC16" i="1"/>
  <c r="CD16" i="1" s="1"/>
  <c r="CF16" i="1" s="1"/>
  <c r="CA16" i="1"/>
  <c r="AF16" i="1"/>
  <c r="BD16" i="1"/>
  <c r="AK16" i="1"/>
  <c r="AM16" i="1" s="1"/>
  <c r="AA15" i="1"/>
  <c r="W15" i="1"/>
  <c r="EE15" i="1"/>
  <c r="EF15" i="1" s="1"/>
  <c r="EH15" i="1" s="1"/>
  <c r="DY15" i="1"/>
  <c r="DZ15" i="1" s="1"/>
  <c r="EB15" i="1" s="1"/>
  <c r="DS15" i="1"/>
  <c r="DT15" i="1" s="1"/>
  <c r="DV15" i="1" s="1"/>
  <c r="DQ15" i="1"/>
  <c r="DJ15" i="1"/>
  <c r="DK15" i="1" s="1"/>
  <c r="DM15" i="1" s="1"/>
  <c r="DD15" i="1"/>
  <c r="DE15" i="1" s="1"/>
  <c r="DG15" i="1" s="1"/>
  <c r="CX15" i="1"/>
  <c r="CY15" i="1" s="1"/>
  <c r="DA15" i="1" s="1"/>
  <c r="CV15" i="1"/>
  <c r="CO15" i="1"/>
  <c r="CP15" i="1" s="1"/>
  <c r="CR15" i="1" s="1"/>
  <c r="CI15" i="1"/>
  <c r="CJ15" i="1" s="1"/>
  <c r="CL15" i="1" s="1"/>
  <c r="CC15" i="1"/>
  <c r="CD15" i="1" s="1"/>
  <c r="CF15" i="1" s="1"/>
  <c r="CA15" i="1"/>
  <c r="AF15" i="1"/>
  <c r="BD15" i="1"/>
  <c r="AK15" i="1"/>
  <c r="AM15" i="1" s="1"/>
  <c r="AA14" i="1"/>
  <c r="W14" i="1"/>
  <c r="EE14" i="1"/>
  <c r="EF14" i="1" s="1"/>
  <c r="EH14" i="1" s="1"/>
  <c r="DY14" i="1"/>
  <c r="DZ14" i="1" s="1"/>
  <c r="EB14" i="1" s="1"/>
  <c r="DS14" i="1"/>
  <c r="DT14" i="1" s="1"/>
  <c r="DV14" i="1" s="1"/>
  <c r="DQ14" i="1"/>
  <c r="DJ14" i="1"/>
  <c r="DK14" i="1" s="1"/>
  <c r="DM14" i="1" s="1"/>
  <c r="DD14" i="1"/>
  <c r="DE14" i="1" s="1"/>
  <c r="DG14" i="1" s="1"/>
  <c r="CX14" i="1"/>
  <c r="CY14" i="1" s="1"/>
  <c r="DA14" i="1" s="1"/>
  <c r="CV14" i="1"/>
  <c r="CO14" i="1"/>
  <c r="CP14" i="1" s="1"/>
  <c r="CR14" i="1" s="1"/>
  <c r="CI14" i="1"/>
  <c r="CJ14" i="1" s="1"/>
  <c r="CL14" i="1" s="1"/>
  <c r="CC14" i="1"/>
  <c r="CD14" i="1" s="1"/>
  <c r="CF14" i="1" s="1"/>
  <c r="CA14" i="1"/>
  <c r="AF14" i="1"/>
  <c r="BD14" i="1"/>
  <c r="AK14" i="1"/>
  <c r="AM14" i="1" s="1"/>
  <c r="AA13" i="1"/>
  <c r="W13" i="1"/>
  <c r="EE13" i="1"/>
  <c r="EF13" i="1" s="1"/>
  <c r="EH13" i="1" s="1"/>
  <c r="DY13" i="1"/>
  <c r="DZ13" i="1" s="1"/>
  <c r="EB13" i="1" s="1"/>
  <c r="DS13" i="1"/>
  <c r="DT13" i="1" s="1"/>
  <c r="DV13" i="1" s="1"/>
  <c r="DQ13" i="1"/>
  <c r="DJ13" i="1"/>
  <c r="DK13" i="1" s="1"/>
  <c r="DM13" i="1" s="1"/>
  <c r="DD13" i="1"/>
  <c r="DE13" i="1" s="1"/>
  <c r="DG13" i="1" s="1"/>
  <c r="CX13" i="1"/>
  <c r="CY13" i="1" s="1"/>
  <c r="DA13" i="1" s="1"/>
  <c r="CV13" i="1"/>
  <c r="CO13" i="1"/>
  <c r="CP13" i="1" s="1"/>
  <c r="CR13" i="1" s="1"/>
  <c r="CI13" i="1"/>
  <c r="CJ13" i="1" s="1"/>
  <c r="CL13" i="1" s="1"/>
  <c r="CC13" i="1"/>
  <c r="CD13" i="1" s="1"/>
  <c r="CF13" i="1" s="1"/>
  <c r="CA13" i="1"/>
  <c r="AF13" i="1"/>
  <c r="Q21" i="1"/>
  <c r="BH11" i="1"/>
  <c r="AB11" i="1" s="1"/>
  <c r="AC11" i="1" s="1"/>
  <c r="S11" i="1"/>
  <c r="R11" i="1"/>
  <c r="AA11" i="1"/>
  <c r="W11" i="1"/>
  <c r="EE11" i="1"/>
  <c r="EF11" i="1" s="1"/>
  <c r="EH11" i="1" s="1"/>
  <c r="DY11" i="1"/>
  <c r="DZ11" i="1" s="1"/>
  <c r="EB11" i="1" s="1"/>
  <c r="DS11" i="1"/>
  <c r="DT11" i="1" s="1"/>
  <c r="DV11" i="1" s="1"/>
  <c r="DQ11" i="1"/>
  <c r="DJ11" i="1"/>
  <c r="DK11" i="1" s="1"/>
  <c r="DM11" i="1" s="1"/>
  <c r="DD11" i="1"/>
  <c r="DE11" i="1" s="1"/>
  <c r="DG11" i="1" s="1"/>
  <c r="CX11" i="1"/>
  <c r="CY11" i="1" s="1"/>
  <c r="DA11" i="1" s="1"/>
  <c r="CV11" i="1"/>
  <c r="CO11" i="1"/>
  <c r="CP11" i="1" s="1"/>
  <c r="CR11" i="1" s="1"/>
  <c r="CI11" i="1"/>
  <c r="CJ11" i="1" s="1"/>
  <c r="CL11" i="1" s="1"/>
  <c r="CC11" i="1"/>
  <c r="CD11" i="1" s="1"/>
  <c r="CF11" i="1" s="1"/>
  <c r="CA11" i="1"/>
  <c r="BU11" i="1"/>
  <c r="BT11" i="1"/>
  <c r="BL11" i="1"/>
  <c r="AX11" i="1"/>
  <c r="AZ11" i="1" s="1"/>
  <c r="AF11" i="1"/>
  <c r="BD11" i="1"/>
  <c r="AK11" i="1"/>
  <c r="AM11" i="1" s="1"/>
  <c r="AH21" i="1"/>
  <c r="AD21" i="1"/>
  <c r="Z21" i="1"/>
  <c r="U21" i="1"/>
  <c r="V21" i="1" s="1"/>
  <c r="N21" i="1"/>
  <c r="Q17" i="1"/>
  <c r="BH10" i="1"/>
  <c r="AB10" i="1" s="1"/>
  <c r="AC10" i="1" s="1"/>
  <c r="S10" i="1"/>
  <c r="R10" i="1"/>
  <c r="AA10" i="1"/>
  <c r="W10" i="1"/>
  <c r="EE10" i="1"/>
  <c r="EF10" i="1" s="1"/>
  <c r="EH10" i="1" s="1"/>
  <c r="DY10" i="1"/>
  <c r="DZ10" i="1" s="1"/>
  <c r="EB10" i="1" s="1"/>
  <c r="DS10" i="1"/>
  <c r="DT10" i="1" s="1"/>
  <c r="DV10" i="1" s="1"/>
  <c r="DQ10" i="1"/>
  <c r="DJ10" i="1"/>
  <c r="DK10" i="1" s="1"/>
  <c r="DM10" i="1" s="1"/>
  <c r="DD10" i="1"/>
  <c r="DE10" i="1" s="1"/>
  <c r="DG10" i="1" s="1"/>
  <c r="CX10" i="1"/>
  <c r="CY10" i="1" s="1"/>
  <c r="DA10" i="1" s="1"/>
  <c r="CV10" i="1"/>
  <c r="CO10" i="1"/>
  <c r="CP10" i="1" s="1"/>
  <c r="CR10" i="1" s="1"/>
  <c r="CI10" i="1"/>
  <c r="CJ10" i="1" s="1"/>
  <c r="CL10" i="1" s="1"/>
  <c r="CC10" i="1"/>
  <c r="CD10" i="1" s="1"/>
  <c r="CF10" i="1" s="1"/>
  <c r="CA10" i="1"/>
  <c r="BU10" i="1"/>
  <c r="BT10" i="1"/>
  <c r="BL10" i="1"/>
  <c r="AX10" i="1"/>
  <c r="AZ10" i="1" s="1"/>
  <c r="AF10" i="1"/>
  <c r="BD10" i="1"/>
  <c r="AK10" i="1"/>
  <c r="AM10" i="1" s="1"/>
  <c r="AH20" i="1"/>
  <c r="AD20" i="1"/>
  <c r="Z20" i="1"/>
  <c r="U20" i="1"/>
  <c r="V20" i="1" s="1"/>
  <c r="N20" i="1"/>
  <c r="Q20" i="1"/>
  <c r="Q19" i="1"/>
  <c r="Q18" i="1"/>
  <c r="BH9" i="1"/>
  <c r="AB9" i="1" s="1"/>
  <c r="AC9" i="1" s="1"/>
  <c r="S9" i="1"/>
  <c r="R9" i="1"/>
  <c r="AA9" i="1"/>
  <c r="W9" i="1"/>
  <c r="EE9" i="1"/>
  <c r="EF9" i="1" s="1"/>
  <c r="EH9" i="1" s="1"/>
  <c r="DY9" i="1"/>
  <c r="DZ9" i="1" s="1"/>
  <c r="EB9" i="1" s="1"/>
  <c r="DS9" i="1"/>
  <c r="DT9" i="1" s="1"/>
  <c r="DV9" i="1" s="1"/>
  <c r="DQ9" i="1"/>
  <c r="DJ9" i="1"/>
  <c r="DK9" i="1" s="1"/>
  <c r="DM9" i="1" s="1"/>
  <c r="DD9" i="1"/>
  <c r="DE9" i="1" s="1"/>
  <c r="DG9" i="1" s="1"/>
  <c r="CX9" i="1"/>
  <c r="CY9" i="1" s="1"/>
  <c r="DA9" i="1" s="1"/>
  <c r="CV9" i="1"/>
  <c r="CO9" i="1"/>
  <c r="CP9" i="1" s="1"/>
  <c r="CR9" i="1" s="1"/>
  <c r="CI9" i="1"/>
  <c r="CJ9" i="1" s="1"/>
  <c r="CL9" i="1" s="1"/>
  <c r="CC9" i="1"/>
  <c r="CD9" i="1" s="1"/>
  <c r="CF9" i="1" s="1"/>
  <c r="CA9" i="1"/>
  <c r="BU9" i="1"/>
  <c r="BU19" i="1" s="1"/>
  <c r="BT9" i="1"/>
  <c r="BT19" i="1" s="1"/>
  <c r="BL9" i="1"/>
  <c r="AX9" i="1"/>
  <c r="AF9" i="1"/>
  <c r="BD9" i="1"/>
  <c r="AK9" i="1"/>
  <c r="AM9" i="1" s="1"/>
  <c r="AH19" i="1"/>
  <c r="AD19" i="1"/>
  <c r="Z19" i="1"/>
  <c r="U19" i="1"/>
  <c r="V19" i="1" s="1"/>
  <c r="N19" i="1"/>
  <c r="AC18" i="1"/>
  <c r="EI8" i="1"/>
  <c r="EC8" i="1"/>
  <c r="DW8" i="1"/>
  <c r="DN8" i="1"/>
  <c r="DH8" i="1"/>
  <c r="DB8" i="1"/>
  <c r="CS8" i="1"/>
  <c r="CM8" i="1"/>
  <c r="CG8" i="1"/>
  <c r="BE8" i="1"/>
  <c r="AA8" i="1"/>
  <c r="W8" i="1"/>
  <c r="AC17" i="1"/>
  <c r="EI7" i="1"/>
  <c r="EC7" i="1"/>
  <c r="DW7" i="1"/>
  <c r="DN7" i="1"/>
  <c r="DH7" i="1"/>
  <c r="DB7" i="1"/>
  <c r="CS7" i="1"/>
  <c r="CM7" i="1"/>
  <c r="CG7" i="1"/>
  <c r="BE7" i="1"/>
  <c r="AA7" i="1"/>
  <c r="W7" i="1"/>
  <c r="AX18" i="1"/>
  <c r="AZ18" i="1" s="1"/>
  <c r="AX17" i="1"/>
  <c r="AZ17" i="1" s="1"/>
  <c r="AX16" i="1"/>
  <c r="AZ16" i="1" s="1"/>
  <c r="AZ6" i="1"/>
  <c r="AC16" i="1"/>
  <c r="EI6" i="1"/>
  <c r="EC6" i="1"/>
  <c r="DW6" i="1"/>
  <c r="DN6" i="1"/>
  <c r="DH6" i="1"/>
  <c r="DB6" i="1"/>
  <c r="CS6" i="1"/>
  <c r="CM6" i="1"/>
  <c r="CG6" i="1"/>
  <c r="BE6" i="1"/>
  <c r="BH16" i="1"/>
  <c r="AB16" i="1" s="1"/>
  <c r="S16" i="1"/>
  <c r="R16" i="1"/>
  <c r="AA6" i="1"/>
  <c r="W6" i="1"/>
  <c r="AC15" i="1"/>
  <c r="EI5" i="1"/>
  <c r="EC5" i="1"/>
  <c r="DW5" i="1"/>
  <c r="DN5" i="1"/>
  <c r="DH5" i="1"/>
  <c r="DB5" i="1"/>
  <c r="CS5" i="1"/>
  <c r="CM5" i="1"/>
  <c r="CG5" i="1"/>
  <c r="BE5" i="1"/>
  <c r="AA5" i="1"/>
  <c r="W5" i="1"/>
  <c r="AC14" i="1"/>
  <c r="EI4" i="1"/>
  <c r="EC4" i="1"/>
  <c r="DW4" i="1"/>
  <c r="DN4" i="1"/>
  <c r="DH4" i="1"/>
  <c r="DB4" i="1"/>
  <c r="CS4" i="1"/>
  <c r="CM4" i="1"/>
  <c r="CG4" i="1"/>
  <c r="BE4" i="1"/>
  <c r="AA4" i="1"/>
  <c r="W4" i="1"/>
  <c r="AK13" i="1"/>
  <c r="AM13" i="1" s="1"/>
  <c r="AM3" i="1"/>
  <c r="AX15" i="1"/>
  <c r="AZ15" i="1" s="1"/>
  <c r="AX14" i="1"/>
  <c r="AZ14" i="1" s="1"/>
  <c r="AX13" i="1"/>
  <c r="AZ13" i="1" s="1"/>
  <c r="AZ3" i="1"/>
  <c r="AC13" i="1"/>
  <c r="EI3" i="1"/>
  <c r="EC3" i="1"/>
  <c r="DW3" i="1"/>
  <c r="DN3" i="1"/>
  <c r="DH3" i="1"/>
  <c r="DB3" i="1"/>
  <c r="CS3" i="1"/>
  <c r="CM3" i="1"/>
  <c r="CG3" i="1"/>
  <c r="BE3" i="1"/>
  <c r="AF3" i="1"/>
  <c r="BH13" i="1"/>
  <c r="AB13" i="1" s="1"/>
  <c r="S13" i="1"/>
  <c r="R13" i="1"/>
  <c r="BH14" i="1"/>
  <c r="AB14" i="1" s="1"/>
  <c r="S14" i="1"/>
  <c r="R14" i="1"/>
  <c r="BH15" i="1"/>
  <c r="AB15" i="1" s="1"/>
  <c r="S15" i="1"/>
  <c r="R15" i="1"/>
  <c r="AA3" i="1"/>
  <c r="W3" i="1"/>
  <c r="BE13" i="1" l="1"/>
  <c r="BP3" i="1" a="1"/>
  <c r="BP3" i="1" s="1"/>
  <c r="BP13" i="1" s="1"/>
  <c r="CG13" i="1"/>
  <c r="CE13" i="1" s="1"/>
  <c r="CE3" i="1"/>
  <c r="CM13" i="1"/>
  <c r="CK13" i="1" s="1"/>
  <c r="CK3" i="1"/>
  <c r="CS13" i="1"/>
  <c r="CQ13" i="1" s="1"/>
  <c r="CQ3" i="1"/>
  <c r="DB13" i="1"/>
  <c r="CZ13" i="1" s="1"/>
  <c r="CZ3" i="1"/>
  <c r="DH13" i="1"/>
  <c r="DF13" i="1" s="1"/>
  <c r="DF3" i="1"/>
  <c r="DN13" i="1"/>
  <c r="DL13" i="1" s="1"/>
  <c r="DL3" i="1"/>
  <c r="DW13" i="1"/>
  <c r="DU13" i="1" s="1"/>
  <c r="DU3" i="1"/>
  <c r="EC13" i="1"/>
  <c r="EA13" i="1" s="1"/>
  <c r="EA3" i="1"/>
  <c r="EI13" i="1"/>
  <c r="EG13" i="1" s="1"/>
  <c r="EG3" i="1"/>
  <c r="BE14" i="1"/>
  <c r="BP4" i="1" a="1"/>
  <c r="BP4" i="1" s="1"/>
  <c r="BP14" i="1" s="1"/>
  <c r="CG14" i="1"/>
  <c r="CE14" i="1" s="1"/>
  <c r="CE4" i="1"/>
  <c r="CM14" i="1"/>
  <c r="CK14" i="1" s="1"/>
  <c r="CK4" i="1"/>
  <c r="CS14" i="1"/>
  <c r="CQ14" i="1" s="1"/>
  <c r="CQ4" i="1"/>
  <c r="DB14" i="1"/>
  <c r="CZ14" i="1" s="1"/>
  <c r="CZ4" i="1"/>
  <c r="DH14" i="1"/>
  <c r="DF14" i="1" s="1"/>
  <c r="DF4" i="1"/>
  <c r="DN14" i="1"/>
  <c r="DL14" i="1" s="1"/>
  <c r="DL4" i="1"/>
  <c r="DW14" i="1"/>
  <c r="DU14" i="1" s="1"/>
  <c r="DU4" i="1"/>
  <c r="EC14" i="1"/>
  <c r="EA14" i="1" s="1"/>
  <c r="EA4" i="1"/>
  <c r="EI14" i="1"/>
  <c r="EG14" i="1" s="1"/>
  <c r="EG4" i="1"/>
  <c r="BE15" i="1"/>
  <c r="BP5" i="1" a="1"/>
  <c r="BP5" i="1" s="1"/>
  <c r="BP15" i="1" s="1"/>
  <c r="CG15" i="1"/>
  <c r="CE15" i="1" s="1"/>
  <c r="CE5" i="1"/>
  <c r="CM15" i="1"/>
  <c r="CK15" i="1" s="1"/>
  <c r="CK5" i="1"/>
  <c r="CS15" i="1"/>
  <c r="CQ15" i="1" s="1"/>
  <c r="CQ5" i="1"/>
  <c r="DB15" i="1"/>
  <c r="CZ15" i="1" s="1"/>
  <c r="CZ5" i="1"/>
  <c r="DH15" i="1"/>
  <c r="DF15" i="1" s="1"/>
  <c r="DF5" i="1"/>
  <c r="DN15" i="1"/>
  <c r="DL15" i="1" s="1"/>
  <c r="DL5" i="1"/>
  <c r="DW15" i="1"/>
  <c r="DU15" i="1" s="1"/>
  <c r="DU5" i="1"/>
  <c r="EC15" i="1"/>
  <c r="EA15" i="1" s="1"/>
  <c r="EA5" i="1"/>
  <c r="EI15" i="1"/>
  <c r="EG15" i="1" s="1"/>
  <c r="EG5" i="1"/>
  <c r="BE16" i="1"/>
  <c r="BP6" i="1" a="1"/>
  <c r="BP6" i="1" s="1"/>
  <c r="BP16" i="1" s="1"/>
  <c r="CG16" i="1"/>
  <c r="CE16" i="1" s="1"/>
  <c r="CE6" i="1"/>
  <c r="CM16" i="1"/>
  <c r="CK16" i="1" s="1"/>
  <c r="CK6" i="1"/>
  <c r="CS16" i="1"/>
  <c r="CQ16" i="1" s="1"/>
  <c r="CQ6" i="1"/>
  <c r="DB16" i="1"/>
  <c r="CZ16" i="1" s="1"/>
  <c r="CZ6" i="1"/>
  <c r="DH16" i="1"/>
  <c r="DF16" i="1" s="1"/>
  <c r="DF6" i="1"/>
  <c r="DN16" i="1"/>
  <c r="DL16" i="1" s="1"/>
  <c r="DL6" i="1"/>
  <c r="DW16" i="1"/>
  <c r="DU16" i="1" s="1"/>
  <c r="DU6" i="1"/>
  <c r="EC16" i="1"/>
  <c r="EA16" i="1" s="1"/>
  <c r="EA6" i="1"/>
  <c r="EI16" i="1"/>
  <c r="EG16" i="1" s="1"/>
  <c r="EG6" i="1"/>
  <c r="BE17" i="1"/>
  <c r="BP7" i="1" a="1"/>
  <c r="BP7" i="1" s="1"/>
  <c r="BP17" i="1" s="1"/>
  <c r="CG17" i="1"/>
  <c r="CE17" i="1" s="1"/>
  <c r="CE7" i="1"/>
  <c r="CM17" i="1"/>
  <c r="CK17" i="1" s="1"/>
  <c r="CK7" i="1"/>
  <c r="CS17" i="1"/>
  <c r="CQ17" i="1" s="1"/>
  <c r="CQ7" i="1"/>
  <c r="DB17" i="1"/>
  <c r="CZ17" i="1" s="1"/>
  <c r="CZ7" i="1"/>
  <c r="DH17" i="1"/>
  <c r="DF17" i="1" s="1"/>
  <c r="DF7" i="1"/>
  <c r="DN17" i="1"/>
  <c r="DL17" i="1" s="1"/>
  <c r="DL7" i="1"/>
  <c r="DW17" i="1"/>
  <c r="DU17" i="1" s="1"/>
  <c r="DU7" i="1"/>
  <c r="EC17" i="1"/>
  <c r="EA17" i="1" s="1"/>
  <c r="EA7" i="1"/>
  <c r="EI17" i="1"/>
  <c r="EG17" i="1" s="1"/>
  <c r="EG7" i="1"/>
  <c r="BE18" i="1"/>
  <c r="BP8" i="1" a="1"/>
  <c r="BP8" i="1" s="1"/>
  <c r="BP18" i="1" s="1"/>
  <c r="CG18" i="1"/>
  <c r="CE18" i="1" s="1"/>
  <c r="CE8" i="1"/>
  <c r="CM18" i="1"/>
  <c r="CK18" i="1" s="1"/>
  <c r="CK8" i="1"/>
  <c r="CS18" i="1"/>
  <c r="CQ18" i="1" s="1"/>
  <c r="CQ8" i="1"/>
  <c r="DB18" i="1"/>
  <c r="CZ18" i="1" s="1"/>
  <c r="CZ8" i="1"/>
  <c r="DH18" i="1"/>
  <c r="DF18" i="1" s="1"/>
  <c r="DF8" i="1"/>
  <c r="DN18" i="1"/>
  <c r="DL18" i="1" s="1"/>
  <c r="DL8" i="1"/>
  <c r="DW18" i="1"/>
  <c r="DU18" i="1" s="1"/>
  <c r="DU8" i="1"/>
  <c r="EC18" i="1"/>
  <c r="EA18" i="1" s="1"/>
  <c r="EA8" i="1"/>
  <c r="EI18" i="1"/>
  <c r="EG18" i="1" s="1"/>
  <c r="EG8" i="1"/>
  <c r="AA19" i="1"/>
  <c r="W19" i="1"/>
  <c r="EE19" i="1"/>
  <c r="EF19" i="1" s="1"/>
  <c r="EH19" i="1" s="1"/>
  <c r="DY19" i="1"/>
  <c r="DZ19" i="1" s="1"/>
  <c r="EB19" i="1" s="1"/>
  <c r="DS19" i="1"/>
  <c r="DT19" i="1" s="1"/>
  <c r="DV19" i="1" s="1"/>
  <c r="DQ19" i="1"/>
  <c r="DJ19" i="1"/>
  <c r="DK19" i="1" s="1"/>
  <c r="DM19" i="1" s="1"/>
  <c r="DD19" i="1"/>
  <c r="DE19" i="1" s="1"/>
  <c r="DG19" i="1" s="1"/>
  <c r="CX19" i="1"/>
  <c r="CY19" i="1" s="1"/>
  <c r="DA19" i="1" s="1"/>
  <c r="CV19" i="1"/>
  <c r="CO19" i="1"/>
  <c r="CP19" i="1" s="1"/>
  <c r="CR19" i="1" s="1"/>
  <c r="CI19" i="1"/>
  <c r="CJ19" i="1" s="1"/>
  <c r="CL19" i="1" s="1"/>
  <c r="CC19" i="1"/>
  <c r="CD19" i="1" s="1"/>
  <c r="CF19" i="1" s="1"/>
  <c r="CA19" i="1"/>
  <c r="AF19" i="1"/>
  <c r="BD19" i="1"/>
  <c r="AK19" i="1"/>
  <c r="AM19" i="1" s="1"/>
  <c r="AX21" i="1"/>
  <c r="AZ21" i="1" s="1"/>
  <c r="AX20" i="1"/>
  <c r="AZ20" i="1" s="1"/>
  <c r="AX19" i="1"/>
  <c r="AZ19" i="1" s="1"/>
  <c r="AZ9" i="1"/>
  <c r="BL19" i="1"/>
  <c r="BG19" i="1" s="1"/>
  <c r="BG9" i="1"/>
  <c r="AC19" i="1"/>
  <c r="EI9" i="1"/>
  <c r="EC9" i="1"/>
  <c r="DW9" i="1"/>
  <c r="DN9" i="1"/>
  <c r="DH9" i="1"/>
  <c r="DB9" i="1"/>
  <c r="CS9" i="1"/>
  <c r="CM9" i="1"/>
  <c r="CG9" i="1"/>
  <c r="BE9" i="1"/>
  <c r="BH18" i="1"/>
  <c r="AB18" i="1" s="1"/>
  <c r="S18" i="1"/>
  <c r="R18" i="1"/>
  <c r="BH19" i="1"/>
  <c r="AB19" i="1" s="1"/>
  <c r="S19" i="1"/>
  <c r="R19" i="1"/>
  <c r="BH20" i="1"/>
  <c r="AB20" i="1" s="1"/>
  <c r="S20" i="1"/>
  <c r="R20" i="1"/>
  <c r="AA20" i="1"/>
  <c r="W20" i="1"/>
  <c r="EE20" i="1"/>
  <c r="EF20" i="1" s="1"/>
  <c r="EH20" i="1" s="1"/>
  <c r="DY20" i="1"/>
  <c r="DZ20" i="1" s="1"/>
  <c r="EB20" i="1" s="1"/>
  <c r="DS20" i="1"/>
  <c r="DT20" i="1" s="1"/>
  <c r="DV20" i="1" s="1"/>
  <c r="DQ20" i="1"/>
  <c r="DJ20" i="1"/>
  <c r="DK20" i="1" s="1"/>
  <c r="DM20" i="1" s="1"/>
  <c r="DD20" i="1"/>
  <c r="DE20" i="1" s="1"/>
  <c r="DG20" i="1" s="1"/>
  <c r="CX20" i="1"/>
  <c r="CY20" i="1" s="1"/>
  <c r="DA20" i="1" s="1"/>
  <c r="CV20" i="1"/>
  <c r="CO20" i="1"/>
  <c r="CP20" i="1" s="1"/>
  <c r="CR20" i="1" s="1"/>
  <c r="CI20" i="1"/>
  <c r="CJ20" i="1" s="1"/>
  <c r="CL20" i="1" s="1"/>
  <c r="CC20" i="1"/>
  <c r="CD20" i="1" s="1"/>
  <c r="CF20" i="1" s="1"/>
  <c r="CA20" i="1"/>
  <c r="AF20" i="1"/>
  <c r="BD20" i="1"/>
  <c r="AK20" i="1"/>
  <c r="AM20" i="1" s="1"/>
  <c r="BL20" i="1"/>
  <c r="BG20" i="1" s="1"/>
  <c r="BG10" i="1"/>
  <c r="BT20" i="1"/>
  <c r="BU20" i="1"/>
  <c r="AC20" i="1"/>
  <c r="EI10" i="1"/>
  <c r="EC10" i="1"/>
  <c r="DW10" i="1"/>
  <c r="DN10" i="1"/>
  <c r="DH10" i="1"/>
  <c r="DB10" i="1"/>
  <c r="CS10" i="1"/>
  <c r="CM10" i="1"/>
  <c r="CG10" i="1"/>
  <c r="BE10" i="1"/>
  <c r="BH17" i="1"/>
  <c r="AB17" i="1" s="1"/>
  <c r="S17" i="1"/>
  <c r="R17" i="1"/>
  <c r="AA21" i="1"/>
  <c r="W21" i="1"/>
  <c r="EE21" i="1"/>
  <c r="EF21" i="1" s="1"/>
  <c r="EH21" i="1" s="1"/>
  <c r="DY21" i="1"/>
  <c r="DZ21" i="1" s="1"/>
  <c r="EB21" i="1" s="1"/>
  <c r="DS21" i="1"/>
  <c r="DT21" i="1" s="1"/>
  <c r="DV21" i="1" s="1"/>
  <c r="DQ21" i="1"/>
  <c r="DJ21" i="1"/>
  <c r="DK21" i="1" s="1"/>
  <c r="DM21" i="1" s="1"/>
  <c r="DD21" i="1"/>
  <c r="DE21" i="1" s="1"/>
  <c r="DG21" i="1" s="1"/>
  <c r="CX21" i="1"/>
  <c r="CY21" i="1" s="1"/>
  <c r="DA21" i="1" s="1"/>
  <c r="CV21" i="1"/>
  <c r="CO21" i="1"/>
  <c r="CP21" i="1" s="1"/>
  <c r="CR21" i="1" s="1"/>
  <c r="CI21" i="1"/>
  <c r="CJ21" i="1" s="1"/>
  <c r="CL21" i="1" s="1"/>
  <c r="CC21" i="1"/>
  <c r="CD21" i="1" s="1"/>
  <c r="CF21" i="1" s="1"/>
  <c r="CA21" i="1"/>
  <c r="AF21" i="1"/>
  <c r="BD21" i="1"/>
  <c r="AK21" i="1"/>
  <c r="AM21" i="1" s="1"/>
  <c r="BL21" i="1"/>
  <c r="BG21" i="1" s="1"/>
  <c r="BG11" i="1"/>
  <c r="BT21" i="1"/>
  <c r="BU21" i="1"/>
  <c r="AC21" i="1"/>
  <c r="EI11" i="1"/>
  <c r="EC11" i="1"/>
  <c r="DW11" i="1"/>
  <c r="DN11" i="1"/>
  <c r="DH11" i="1"/>
  <c r="DB11" i="1"/>
  <c r="CS11" i="1"/>
  <c r="CM11" i="1"/>
  <c r="CG11" i="1"/>
  <c r="BE11" i="1"/>
  <c r="BH21" i="1"/>
  <c r="AB21" i="1" s="1"/>
  <c r="S21" i="1"/>
  <c r="R21" i="1"/>
  <c r="BE33" i="1"/>
  <c r="BP23" i="1" a="1"/>
  <c r="BP23" i="1" s="1"/>
  <c r="BP33" i="1" s="1"/>
  <c r="CG33" i="1"/>
  <c r="CE33" i="1" s="1"/>
  <c r="CE23" i="1"/>
  <c r="CM33" i="1"/>
  <c r="CK33" i="1" s="1"/>
  <c r="CK23" i="1"/>
  <c r="CS33" i="1"/>
  <c r="CQ33" i="1" s="1"/>
  <c r="CQ23" i="1"/>
  <c r="DB33" i="1"/>
  <c r="CZ33" i="1" s="1"/>
  <c r="CZ23" i="1"/>
  <c r="DH33" i="1"/>
  <c r="DF33" i="1" s="1"/>
  <c r="DF23" i="1"/>
  <c r="DN33" i="1"/>
  <c r="DL33" i="1" s="1"/>
  <c r="DL23" i="1"/>
  <c r="DW33" i="1"/>
  <c r="DU33" i="1" s="1"/>
  <c r="DU23" i="1"/>
  <c r="EC33" i="1"/>
  <c r="EA33" i="1" s="1"/>
  <c r="EA23" i="1"/>
  <c r="EI33" i="1"/>
  <c r="EG33" i="1" s="1"/>
  <c r="EG23" i="1"/>
  <c r="BE34" i="1"/>
  <c r="BP24" i="1" a="1"/>
  <c r="BP24" i="1" s="1"/>
  <c r="BP34" i="1" s="1"/>
  <c r="CG34" i="1"/>
  <c r="CE34" i="1" s="1"/>
  <c r="CE24" i="1"/>
  <c r="CM34" i="1"/>
  <c r="CK34" i="1" s="1"/>
  <c r="CK24" i="1"/>
  <c r="CS34" i="1"/>
  <c r="CQ34" i="1" s="1"/>
  <c r="CQ24" i="1"/>
  <c r="DB34" i="1"/>
  <c r="CZ34" i="1" s="1"/>
  <c r="CZ24" i="1"/>
  <c r="DH34" i="1"/>
  <c r="DF34" i="1" s="1"/>
  <c r="DF24" i="1"/>
  <c r="DN34" i="1"/>
  <c r="DL34" i="1" s="1"/>
  <c r="DL24" i="1"/>
  <c r="DW34" i="1"/>
  <c r="DU34" i="1" s="1"/>
  <c r="DU24" i="1"/>
  <c r="EC34" i="1"/>
  <c r="EA34" i="1" s="1"/>
  <c r="EA24" i="1"/>
  <c r="EI34" i="1"/>
  <c r="EG34" i="1" s="1"/>
  <c r="EG24" i="1"/>
  <c r="BE35" i="1"/>
  <c r="BP25" i="1" a="1"/>
  <c r="BP25" i="1" s="1"/>
  <c r="BP35" i="1" s="1"/>
  <c r="CG35" i="1"/>
  <c r="CE35" i="1" s="1"/>
  <c r="CE25" i="1"/>
  <c r="CM35" i="1"/>
  <c r="CK35" i="1" s="1"/>
  <c r="CK25" i="1"/>
  <c r="CS35" i="1"/>
  <c r="CQ35" i="1" s="1"/>
  <c r="CQ25" i="1"/>
  <c r="DB35" i="1"/>
  <c r="CZ35" i="1" s="1"/>
  <c r="CZ25" i="1"/>
  <c r="DH35" i="1"/>
  <c r="DF35" i="1" s="1"/>
  <c r="DF25" i="1"/>
  <c r="DN35" i="1"/>
  <c r="DL35" i="1" s="1"/>
  <c r="DL25" i="1"/>
  <c r="DW35" i="1"/>
  <c r="DU35" i="1" s="1"/>
  <c r="DU25" i="1"/>
  <c r="EC35" i="1"/>
  <c r="EA35" i="1" s="1"/>
  <c r="EA25" i="1"/>
  <c r="EI35" i="1"/>
  <c r="EG35" i="1" s="1"/>
  <c r="EG25" i="1"/>
  <c r="AA36" i="1"/>
  <c r="W36" i="1"/>
  <c r="EE36" i="1"/>
  <c r="EF36" i="1" s="1"/>
  <c r="EH36" i="1" s="1"/>
  <c r="DY36" i="1"/>
  <c r="DZ36" i="1" s="1"/>
  <c r="EB36" i="1" s="1"/>
  <c r="DS36" i="1"/>
  <c r="DT36" i="1" s="1"/>
  <c r="DV36" i="1" s="1"/>
  <c r="DQ36" i="1"/>
  <c r="DJ36" i="1"/>
  <c r="DK36" i="1" s="1"/>
  <c r="DM36" i="1" s="1"/>
  <c r="DD36" i="1"/>
  <c r="DE36" i="1" s="1"/>
  <c r="DG36" i="1" s="1"/>
  <c r="CX36" i="1"/>
  <c r="CY36" i="1" s="1"/>
  <c r="DA36" i="1" s="1"/>
  <c r="CV36" i="1"/>
  <c r="CO36" i="1"/>
  <c r="CP36" i="1" s="1"/>
  <c r="CR36" i="1" s="1"/>
  <c r="CI36" i="1"/>
  <c r="CJ36" i="1" s="1"/>
  <c r="CL36" i="1" s="1"/>
  <c r="CC36" i="1"/>
  <c r="CD36" i="1" s="1"/>
  <c r="CF36" i="1" s="1"/>
  <c r="CA36" i="1"/>
  <c r="AF36" i="1"/>
  <c r="BD36" i="1"/>
  <c r="AK36" i="1"/>
  <c r="AM36" i="1" s="1"/>
  <c r="AX38" i="1"/>
  <c r="AZ38" i="1" s="1"/>
  <c r="AX37" i="1"/>
  <c r="AZ37" i="1" s="1"/>
  <c r="AX36" i="1"/>
  <c r="AZ36" i="1" s="1"/>
  <c r="AZ26" i="1"/>
  <c r="BL36" i="1"/>
  <c r="BG36" i="1" s="1"/>
  <c r="BG26" i="1"/>
  <c r="AC36" i="1"/>
  <c r="EI26" i="1"/>
  <c r="EC26" i="1"/>
  <c r="DW26" i="1"/>
  <c r="DN26" i="1"/>
  <c r="DH26" i="1"/>
  <c r="DB26" i="1"/>
  <c r="CS26" i="1"/>
  <c r="CM26" i="1"/>
  <c r="CG26" i="1"/>
  <c r="BE26" i="1"/>
  <c r="BH36" i="1"/>
  <c r="AB36" i="1" s="1"/>
  <c r="S36" i="1"/>
  <c r="R36" i="1"/>
  <c r="AA37" i="1"/>
  <c r="W37" i="1"/>
  <c r="EE37" i="1"/>
  <c r="EF37" i="1" s="1"/>
  <c r="EH37" i="1" s="1"/>
  <c r="DY37" i="1"/>
  <c r="DZ37" i="1" s="1"/>
  <c r="EB37" i="1" s="1"/>
  <c r="DS37" i="1"/>
  <c r="DT37" i="1" s="1"/>
  <c r="DV37" i="1" s="1"/>
  <c r="DQ37" i="1"/>
  <c r="DJ37" i="1"/>
  <c r="DK37" i="1" s="1"/>
  <c r="DM37" i="1" s="1"/>
  <c r="DD37" i="1"/>
  <c r="DE37" i="1" s="1"/>
  <c r="DG37" i="1" s="1"/>
  <c r="CX37" i="1"/>
  <c r="CY37" i="1" s="1"/>
  <c r="DA37" i="1" s="1"/>
  <c r="CV37" i="1"/>
  <c r="CO37" i="1"/>
  <c r="CP37" i="1" s="1"/>
  <c r="CR37" i="1" s="1"/>
  <c r="CI37" i="1"/>
  <c r="CJ37" i="1" s="1"/>
  <c r="CL37" i="1" s="1"/>
  <c r="CC37" i="1"/>
  <c r="CD37" i="1" s="1"/>
  <c r="CF37" i="1" s="1"/>
  <c r="CA37" i="1"/>
  <c r="AF37" i="1"/>
  <c r="BD37" i="1"/>
  <c r="AK37" i="1"/>
  <c r="AM37" i="1" s="1"/>
  <c r="BL37" i="1"/>
  <c r="BG37" i="1" s="1"/>
  <c r="BG27" i="1"/>
  <c r="BT37" i="1"/>
  <c r="BU37" i="1"/>
  <c r="AC37" i="1"/>
  <c r="EI27" i="1"/>
  <c r="EC27" i="1"/>
  <c r="DW27" i="1"/>
  <c r="DN27" i="1"/>
  <c r="DH27" i="1"/>
  <c r="DB27" i="1"/>
  <c r="CS27" i="1"/>
  <c r="CM27" i="1"/>
  <c r="CG27" i="1"/>
  <c r="BE27" i="1"/>
  <c r="AA38" i="1"/>
  <c r="W38" i="1"/>
  <c r="EE38" i="1"/>
  <c r="EF38" i="1" s="1"/>
  <c r="EH38" i="1" s="1"/>
  <c r="DY38" i="1"/>
  <c r="DZ38" i="1" s="1"/>
  <c r="EB38" i="1" s="1"/>
  <c r="DS38" i="1"/>
  <c r="DT38" i="1" s="1"/>
  <c r="DV38" i="1" s="1"/>
  <c r="DQ38" i="1"/>
  <c r="DJ38" i="1"/>
  <c r="DK38" i="1" s="1"/>
  <c r="DM38" i="1" s="1"/>
  <c r="DD38" i="1"/>
  <c r="DE38" i="1" s="1"/>
  <c r="DG38" i="1" s="1"/>
  <c r="CX38" i="1"/>
  <c r="CY38" i="1" s="1"/>
  <c r="DA38" i="1" s="1"/>
  <c r="CV38" i="1"/>
  <c r="CO38" i="1"/>
  <c r="CP38" i="1" s="1"/>
  <c r="CR38" i="1" s="1"/>
  <c r="CI38" i="1"/>
  <c r="CJ38" i="1" s="1"/>
  <c r="CL38" i="1" s="1"/>
  <c r="CC38" i="1"/>
  <c r="CD38" i="1" s="1"/>
  <c r="CF38" i="1" s="1"/>
  <c r="CA38" i="1"/>
  <c r="AF38" i="1"/>
  <c r="BD38" i="1"/>
  <c r="AK38" i="1"/>
  <c r="AM38" i="1" s="1"/>
  <c r="BL38" i="1"/>
  <c r="BG38" i="1" s="1"/>
  <c r="BG28" i="1"/>
  <c r="BT38" i="1"/>
  <c r="BU38" i="1"/>
  <c r="AC38" i="1"/>
  <c r="EI28" i="1"/>
  <c r="EC28" i="1"/>
  <c r="DW28" i="1"/>
  <c r="DN28" i="1"/>
  <c r="DH28" i="1"/>
  <c r="DB28" i="1"/>
  <c r="CS28" i="1"/>
  <c r="CM28" i="1"/>
  <c r="CG28" i="1"/>
  <c r="BE28" i="1"/>
  <c r="AA39" i="1"/>
  <c r="W39" i="1"/>
  <c r="EE39" i="1"/>
  <c r="EF39" i="1" s="1"/>
  <c r="EH39" i="1" s="1"/>
  <c r="DY39" i="1"/>
  <c r="DZ39" i="1" s="1"/>
  <c r="EB39" i="1" s="1"/>
  <c r="DS39" i="1"/>
  <c r="DT39" i="1" s="1"/>
  <c r="DV39" i="1" s="1"/>
  <c r="DQ39" i="1"/>
  <c r="DJ39" i="1"/>
  <c r="DK39" i="1" s="1"/>
  <c r="DM39" i="1" s="1"/>
  <c r="DD39" i="1"/>
  <c r="DE39" i="1" s="1"/>
  <c r="DG39" i="1" s="1"/>
  <c r="CX39" i="1"/>
  <c r="CY39" i="1" s="1"/>
  <c r="DA39" i="1" s="1"/>
  <c r="CV39" i="1"/>
  <c r="CO39" i="1"/>
  <c r="CP39" i="1" s="1"/>
  <c r="CR39" i="1" s="1"/>
  <c r="CI39" i="1"/>
  <c r="CJ39" i="1" s="1"/>
  <c r="CL39" i="1" s="1"/>
  <c r="CC39" i="1"/>
  <c r="CD39" i="1" s="1"/>
  <c r="CF39" i="1" s="1"/>
  <c r="CA39" i="1"/>
  <c r="AF39" i="1"/>
  <c r="AK39" i="1"/>
  <c r="AM39" i="1" s="1"/>
  <c r="AM29" i="1"/>
  <c r="AX41" i="1"/>
  <c r="AZ41" i="1" s="1"/>
  <c r="AX40" i="1"/>
  <c r="AZ40" i="1" s="1"/>
  <c r="AX39" i="1"/>
  <c r="AZ39" i="1" s="1"/>
  <c r="AZ29" i="1"/>
  <c r="BL39" i="1"/>
  <c r="BG39" i="1" s="1"/>
  <c r="BG29" i="1"/>
  <c r="AC39" i="1"/>
  <c r="EI29" i="1"/>
  <c r="EC29" i="1"/>
  <c r="DW29" i="1"/>
  <c r="DN29" i="1"/>
  <c r="DH29" i="1"/>
  <c r="DB29" i="1"/>
  <c r="CS29" i="1"/>
  <c r="CM29" i="1"/>
  <c r="CG29" i="1"/>
  <c r="BE29" i="1"/>
  <c r="BH38" i="1"/>
  <c r="AB38" i="1" s="1"/>
  <c r="S38" i="1"/>
  <c r="R38" i="1"/>
  <c r="BH39" i="1"/>
  <c r="AB39" i="1" s="1"/>
  <c r="S39" i="1"/>
  <c r="R39" i="1"/>
  <c r="BH40" i="1"/>
  <c r="AB40" i="1" s="1"/>
  <c r="S40" i="1"/>
  <c r="R40" i="1"/>
  <c r="AA40" i="1"/>
  <c r="W40" i="1"/>
  <c r="EE40" i="1"/>
  <c r="EF40" i="1" s="1"/>
  <c r="EH40" i="1" s="1"/>
  <c r="DY40" i="1"/>
  <c r="DZ40" i="1" s="1"/>
  <c r="EB40" i="1" s="1"/>
  <c r="DS40" i="1"/>
  <c r="DT40" i="1" s="1"/>
  <c r="DV40" i="1" s="1"/>
  <c r="DQ40" i="1"/>
  <c r="DJ40" i="1"/>
  <c r="DK40" i="1" s="1"/>
  <c r="DM40" i="1" s="1"/>
  <c r="DD40" i="1"/>
  <c r="DE40" i="1" s="1"/>
  <c r="DG40" i="1" s="1"/>
  <c r="CX40" i="1"/>
  <c r="CY40" i="1" s="1"/>
  <c r="DA40" i="1" s="1"/>
  <c r="CV40" i="1"/>
  <c r="CO40" i="1"/>
  <c r="CP40" i="1" s="1"/>
  <c r="CR40" i="1" s="1"/>
  <c r="CI40" i="1"/>
  <c r="CJ40" i="1" s="1"/>
  <c r="CL40" i="1" s="1"/>
  <c r="CC40" i="1"/>
  <c r="CD40" i="1" s="1"/>
  <c r="CF40" i="1" s="1"/>
  <c r="CA40" i="1"/>
  <c r="AF40" i="1"/>
  <c r="BD40" i="1"/>
  <c r="AK40" i="1"/>
  <c r="AM40" i="1" s="1"/>
  <c r="BL40" i="1"/>
  <c r="BG40" i="1" s="1"/>
  <c r="BG30" i="1"/>
  <c r="BT40" i="1"/>
  <c r="BU40" i="1"/>
  <c r="AC40" i="1"/>
  <c r="EI30" i="1"/>
  <c r="EC30" i="1"/>
  <c r="DW30" i="1"/>
  <c r="DN30" i="1"/>
  <c r="DH30" i="1"/>
  <c r="DB30" i="1"/>
  <c r="CS30" i="1"/>
  <c r="CM30" i="1"/>
  <c r="CG30" i="1"/>
  <c r="BE30" i="1"/>
  <c r="BH37" i="1"/>
  <c r="AB37" i="1" s="1"/>
  <c r="S37" i="1"/>
  <c r="R37" i="1"/>
  <c r="AA41" i="1"/>
  <c r="W41" i="1"/>
  <c r="EE41" i="1"/>
  <c r="EF41" i="1" s="1"/>
  <c r="EH41" i="1" s="1"/>
  <c r="DY41" i="1"/>
  <c r="DZ41" i="1" s="1"/>
  <c r="EB41" i="1" s="1"/>
  <c r="DS41" i="1"/>
  <c r="DT41" i="1" s="1"/>
  <c r="DV41" i="1" s="1"/>
  <c r="DQ41" i="1"/>
  <c r="DJ41" i="1"/>
  <c r="DK41" i="1" s="1"/>
  <c r="DM41" i="1" s="1"/>
  <c r="DD41" i="1"/>
  <c r="DE41" i="1" s="1"/>
  <c r="DG41" i="1" s="1"/>
  <c r="CX41" i="1"/>
  <c r="CY41" i="1" s="1"/>
  <c r="DA41" i="1" s="1"/>
  <c r="CV41" i="1"/>
  <c r="CO41" i="1"/>
  <c r="CP41" i="1" s="1"/>
  <c r="CR41" i="1" s="1"/>
  <c r="CI41" i="1"/>
  <c r="CJ41" i="1" s="1"/>
  <c r="CL41" i="1" s="1"/>
  <c r="CC41" i="1"/>
  <c r="CD41" i="1" s="1"/>
  <c r="CF41" i="1" s="1"/>
  <c r="CA41" i="1"/>
  <c r="AF41" i="1"/>
  <c r="BD41" i="1"/>
  <c r="AK41" i="1"/>
  <c r="AM41" i="1" s="1"/>
  <c r="BL41" i="1"/>
  <c r="BG41" i="1" s="1"/>
  <c r="BG31" i="1"/>
  <c r="BT41" i="1"/>
  <c r="BU41" i="1"/>
  <c r="AC41" i="1"/>
  <c r="EI31" i="1"/>
  <c r="EC31" i="1"/>
  <c r="DW31" i="1"/>
  <c r="DN31" i="1"/>
  <c r="DH31" i="1"/>
  <c r="DB31" i="1"/>
  <c r="CS31" i="1"/>
  <c r="CM31" i="1"/>
  <c r="CG31" i="1"/>
  <c r="BE31" i="1"/>
  <c r="BH41" i="1"/>
  <c r="AB41" i="1" s="1"/>
  <c r="S41" i="1"/>
  <c r="R41" i="1"/>
  <c r="EE53" i="1"/>
  <c r="EF53" i="1" s="1"/>
  <c r="EH53" i="1" s="1"/>
  <c r="DY53" i="1"/>
  <c r="DZ53" i="1" s="1"/>
  <c r="EB53" i="1" s="1"/>
  <c r="DS53" i="1"/>
  <c r="DT53" i="1" s="1"/>
  <c r="DV53" i="1" s="1"/>
  <c r="DQ53" i="1"/>
  <c r="DJ53" i="1"/>
  <c r="DK53" i="1" s="1"/>
  <c r="DM53" i="1" s="1"/>
  <c r="DD53" i="1"/>
  <c r="DE53" i="1" s="1"/>
  <c r="DG53" i="1" s="1"/>
  <c r="CX53" i="1"/>
  <c r="CY53" i="1" s="1"/>
  <c r="DA53" i="1" s="1"/>
  <c r="CV53" i="1"/>
  <c r="CO53" i="1"/>
  <c r="CP53" i="1" s="1"/>
  <c r="CR53" i="1" s="1"/>
  <c r="CI53" i="1"/>
  <c r="CJ53" i="1" s="1"/>
  <c r="CL53" i="1" s="1"/>
  <c r="CC53" i="1"/>
  <c r="CD53" i="1" s="1"/>
  <c r="CF53" i="1" s="1"/>
  <c r="CA53" i="1"/>
  <c r="AY53" i="1"/>
  <c r="AK53" i="1"/>
  <c r="AM53" i="1" s="1"/>
  <c r="AM43" i="1"/>
  <c r="AX55" i="1"/>
  <c r="AZ55" i="1" s="1"/>
  <c r="AX54" i="1"/>
  <c r="AZ54" i="1" s="1"/>
  <c r="AX53" i="1"/>
  <c r="AZ53" i="1" s="1"/>
  <c r="AZ43" i="1"/>
  <c r="BW43" i="1"/>
  <c r="BW53" i="1" s="1"/>
  <c r="BV43" i="1"/>
  <c r="BV53" i="1" s="1"/>
  <c r="BO43" i="1"/>
  <c r="BO53" i="1" s="1"/>
  <c r="BN43" i="1"/>
  <c r="BN53" i="1" s="1"/>
  <c r="BM43" i="1"/>
  <c r="BM53" i="1" s="1"/>
  <c r="BJ43" i="1"/>
  <c r="BJ53" i="1" s="1"/>
  <c r="AE43" i="1"/>
  <c r="AF43" i="1" s="1"/>
  <c r="M43" i="1"/>
  <c r="BA43" i="1"/>
  <c r="BL53" i="1"/>
  <c r="BG53" i="1" s="1"/>
  <c r="BG43" i="1"/>
  <c r="AC53" i="1"/>
  <c r="EI43" i="1"/>
  <c r="EC43" i="1"/>
  <c r="DW43" i="1"/>
  <c r="DN43" i="1"/>
  <c r="DH43" i="1"/>
  <c r="DB43" i="1"/>
  <c r="CS43" i="1"/>
  <c r="CM43" i="1"/>
  <c r="CG43" i="1"/>
  <c r="BE43" i="1"/>
  <c r="BH53" i="1"/>
  <c r="AB53" i="1" s="1"/>
  <c r="S53" i="1"/>
  <c r="R53" i="1"/>
  <c r="BH54" i="1"/>
  <c r="AB54" i="1" s="1"/>
  <c r="S54" i="1"/>
  <c r="R54" i="1"/>
  <c r="BH55" i="1"/>
  <c r="AB55" i="1" s="1"/>
  <c r="S55" i="1"/>
  <c r="R55" i="1"/>
  <c r="EE54" i="1"/>
  <c r="EF54" i="1" s="1"/>
  <c r="EH54" i="1" s="1"/>
  <c r="DY54" i="1"/>
  <c r="DZ54" i="1" s="1"/>
  <c r="EB54" i="1" s="1"/>
  <c r="DS54" i="1"/>
  <c r="DT54" i="1" s="1"/>
  <c r="DV54" i="1" s="1"/>
  <c r="DQ54" i="1"/>
  <c r="DJ54" i="1"/>
  <c r="DK54" i="1" s="1"/>
  <c r="DM54" i="1" s="1"/>
  <c r="DD54" i="1"/>
  <c r="DE54" i="1" s="1"/>
  <c r="DG54" i="1" s="1"/>
  <c r="CX54" i="1"/>
  <c r="CY54" i="1" s="1"/>
  <c r="DA54" i="1" s="1"/>
  <c r="CV54" i="1"/>
  <c r="CO54" i="1"/>
  <c r="CP54" i="1" s="1"/>
  <c r="CR54" i="1" s="1"/>
  <c r="CI54" i="1"/>
  <c r="CJ54" i="1" s="1"/>
  <c r="CL54" i="1" s="1"/>
  <c r="CC54" i="1"/>
  <c r="CD54" i="1" s="1"/>
  <c r="CF54" i="1" s="1"/>
  <c r="CA54" i="1"/>
  <c r="AY54" i="1"/>
  <c r="BD54" i="1"/>
  <c r="AK54" i="1"/>
  <c r="AM54" i="1" s="1"/>
  <c r="BW44" i="1"/>
  <c r="BW54" i="1" s="1"/>
  <c r="BV44" i="1"/>
  <c r="BV54" i="1" s="1"/>
  <c r="BO44" i="1"/>
  <c r="BO54" i="1" s="1"/>
  <c r="BN44" i="1"/>
  <c r="BN54" i="1" s="1"/>
  <c r="BM44" i="1"/>
  <c r="BM54" i="1" s="1"/>
  <c r="BJ44" i="1"/>
  <c r="BJ54" i="1" s="1"/>
  <c r="AE44" i="1"/>
  <c r="AF44" i="1" s="1"/>
  <c r="M44" i="1"/>
  <c r="BA44" i="1"/>
  <c r="BL54" i="1"/>
  <c r="BG54" i="1" s="1"/>
  <c r="BG44" i="1"/>
  <c r="BT54" i="1"/>
  <c r="BU54" i="1"/>
  <c r="AC54" i="1"/>
  <c r="EI44" i="1"/>
  <c r="EC44" i="1"/>
  <c r="DW44" i="1"/>
  <c r="DN44" i="1"/>
  <c r="DH44" i="1"/>
  <c r="DB44" i="1"/>
  <c r="CS44" i="1"/>
  <c r="CM44" i="1"/>
  <c r="CG44" i="1"/>
  <c r="BE44" i="1"/>
  <c r="EE55" i="1"/>
  <c r="EF55" i="1" s="1"/>
  <c r="EH55" i="1" s="1"/>
  <c r="DY55" i="1"/>
  <c r="DZ55" i="1" s="1"/>
  <c r="EB55" i="1" s="1"/>
  <c r="DS55" i="1"/>
  <c r="DT55" i="1" s="1"/>
  <c r="DV55" i="1" s="1"/>
  <c r="DQ55" i="1"/>
  <c r="DJ55" i="1"/>
  <c r="DK55" i="1" s="1"/>
  <c r="DM55" i="1" s="1"/>
  <c r="DD55" i="1"/>
  <c r="DE55" i="1" s="1"/>
  <c r="DG55" i="1" s="1"/>
  <c r="CX55" i="1"/>
  <c r="CY55" i="1" s="1"/>
  <c r="DA55" i="1" s="1"/>
  <c r="CV55" i="1"/>
  <c r="CO55" i="1"/>
  <c r="CP55" i="1" s="1"/>
  <c r="CR55" i="1" s="1"/>
  <c r="CI55" i="1"/>
  <c r="CJ55" i="1" s="1"/>
  <c r="CL55" i="1" s="1"/>
  <c r="CC55" i="1"/>
  <c r="CD55" i="1" s="1"/>
  <c r="CF55" i="1" s="1"/>
  <c r="CA55" i="1"/>
  <c r="AY55" i="1"/>
  <c r="BD55" i="1"/>
  <c r="AK55" i="1"/>
  <c r="AM55" i="1" s="1"/>
  <c r="BW45" i="1"/>
  <c r="BW55" i="1" s="1"/>
  <c r="BV45" i="1"/>
  <c r="BV55" i="1" s="1"/>
  <c r="BO45" i="1"/>
  <c r="BO55" i="1" s="1"/>
  <c r="BN45" i="1"/>
  <c r="BN55" i="1" s="1"/>
  <c r="BM45" i="1"/>
  <c r="BM55" i="1" s="1"/>
  <c r="BJ45" i="1"/>
  <c r="BJ55" i="1" s="1"/>
  <c r="AE45" i="1"/>
  <c r="AF45" i="1" s="1"/>
  <c r="M45" i="1"/>
  <c r="BA45" i="1"/>
  <c r="BL55" i="1"/>
  <c r="BG55" i="1" s="1"/>
  <c r="BG45" i="1"/>
  <c r="BT55" i="1"/>
  <c r="BU55" i="1"/>
  <c r="AC55" i="1"/>
  <c r="EI45" i="1"/>
  <c r="EC45" i="1"/>
  <c r="DW45" i="1"/>
  <c r="DN45" i="1"/>
  <c r="DH45" i="1"/>
  <c r="DB45" i="1"/>
  <c r="CS45" i="1"/>
  <c r="CM45" i="1"/>
  <c r="CG45" i="1"/>
  <c r="BE45" i="1"/>
  <c r="BE56" i="1"/>
  <c r="BP46" i="1" a="1"/>
  <c r="BP46" i="1" s="1"/>
  <c r="BP56" i="1" s="1"/>
  <c r="CG56" i="1"/>
  <c r="CE56" i="1" s="1"/>
  <c r="CE46" i="1"/>
  <c r="CM56" i="1"/>
  <c r="CK56" i="1" s="1"/>
  <c r="CK46" i="1"/>
  <c r="CS56" i="1"/>
  <c r="CQ56" i="1" s="1"/>
  <c r="CQ46" i="1"/>
  <c r="DB56" i="1"/>
  <c r="CZ56" i="1" s="1"/>
  <c r="CZ46" i="1"/>
  <c r="DH56" i="1"/>
  <c r="DF56" i="1" s="1"/>
  <c r="DF46" i="1"/>
  <c r="DN56" i="1"/>
  <c r="DL56" i="1" s="1"/>
  <c r="DL46" i="1"/>
  <c r="DW56" i="1"/>
  <c r="DU56" i="1" s="1"/>
  <c r="DU46" i="1"/>
  <c r="EC56" i="1"/>
  <c r="EA56" i="1" s="1"/>
  <c r="EA46" i="1"/>
  <c r="EI56" i="1"/>
  <c r="EG56" i="1" s="1"/>
  <c r="EG46" i="1"/>
  <c r="M56" i="1"/>
  <c r="Z46" i="1"/>
  <c r="U46" i="1"/>
  <c r="V46" i="1" s="1"/>
  <c r="N46" i="1"/>
  <c r="BJ56" i="1"/>
  <c r="BG56" i="1" s="1"/>
  <c r="BG46" i="1"/>
  <c r="BE57" i="1"/>
  <c r="BP47" i="1" a="1"/>
  <c r="BP47" i="1" s="1"/>
  <c r="BP57" i="1" s="1"/>
  <c r="CG57" i="1"/>
  <c r="CE57" i="1" s="1"/>
  <c r="CE47" i="1"/>
  <c r="CM57" i="1"/>
  <c r="CK57" i="1" s="1"/>
  <c r="CK47" i="1"/>
  <c r="CS57" i="1"/>
  <c r="CQ57" i="1" s="1"/>
  <c r="CQ47" i="1"/>
  <c r="DB57" i="1"/>
  <c r="CZ57" i="1" s="1"/>
  <c r="CZ47" i="1"/>
  <c r="DH57" i="1"/>
  <c r="DF57" i="1" s="1"/>
  <c r="DF47" i="1"/>
  <c r="DN57" i="1"/>
  <c r="DL57" i="1" s="1"/>
  <c r="DL47" i="1"/>
  <c r="DW57" i="1"/>
  <c r="DU57" i="1" s="1"/>
  <c r="DU47" i="1"/>
  <c r="EC57" i="1"/>
  <c r="EA57" i="1" s="1"/>
  <c r="EA47" i="1"/>
  <c r="EI57" i="1"/>
  <c r="EG57" i="1" s="1"/>
  <c r="EG47" i="1"/>
  <c r="M57" i="1"/>
  <c r="Z47" i="1"/>
  <c r="U47" i="1"/>
  <c r="V47" i="1" s="1"/>
  <c r="N47" i="1"/>
  <c r="BJ57" i="1"/>
  <c r="BG57" i="1" s="1"/>
  <c r="BG47" i="1"/>
  <c r="BM57" i="1"/>
  <c r="BN57" i="1"/>
  <c r="BO57" i="1"/>
  <c r="BV57" i="1"/>
  <c r="BW57" i="1"/>
  <c r="BE58" i="1"/>
  <c r="BP48" i="1" a="1"/>
  <c r="BP48" i="1" s="1"/>
  <c r="BP58" i="1" s="1"/>
  <c r="CG58" i="1"/>
  <c r="CE58" i="1" s="1"/>
  <c r="CE48" i="1"/>
  <c r="CM58" i="1"/>
  <c r="CK58" i="1" s="1"/>
  <c r="CK48" i="1"/>
  <c r="CS58" i="1"/>
  <c r="CQ58" i="1" s="1"/>
  <c r="CQ48" i="1"/>
  <c r="DB58" i="1"/>
  <c r="CZ58" i="1" s="1"/>
  <c r="CZ48" i="1"/>
  <c r="DH58" i="1"/>
  <c r="DF58" i="1" s="1"/>
  <c r="DF48" i="1"/>
  <c r="DN58" i="1"/>
  <c r="DL58" i="1" s="1"/>
  <c r="DL48" i="1"/>
  <c r="DW58" i="1"/>
  <c r="DU58" i="1" s="1"/>
  <c r="DU48" i="1"/>
  <c r="EC58" i="1"/>
  <c r="EA58" i="1" s="1"/>
  <c r="EA48" i="1"/>
  <c r="EI58" i="1"/>
  <c r="EG58" i="1" s="1"/>
  <c r="EG48" i="1"/>
  <c r="M58" i="1"/>
  <c r="Z48" i="1"/>
  <c r="U48" i="1"/>
  <c r="V48" i="1" s="1"/>
  <c r="N48" i="1"/>
  <c r="BJ58" i="1"/>
  <c r="BG58" i="1" s="1"/>
  <c r="BG48" i="1"/>
  <c r="BM58" i="1"/>
  <c r="BN58" i="1"/>
  <c r="BO58" i="1"/>
  <c r="BV58" i="1"/>
  <c r="BW58" i="1"/>
  <c r="EE59" i="1"/>
  <c r="EF59" i="1" s="1"/>
  <c r="EH59" i="1" s="1"/>
  <c r="DY59" i="1"/>
  <c r="DZ59" i="1" s="1"/>
  <c r="EB59" i="1" s="1"/>
  <c r="DS59" i="1"/>
  <c r="DT59" i="1" s="1"/>
  <c r="DV59" i="1" s="1"/>
  <c r="DQ59" i="1"/>
  <c r="DJ59" i="1"/>
  <c r="DK59" i="1" s="1"/>
  <c r="DM59" i="1" s="1"/>
  <c r="DD59" i="1"/>
  <c r="DE59" i="1" s="1"/>
  <c r="DG59" i="1" s="1"/>
  <c r="CX59" i="1"/>
  <c r="CY59" i="1" s="1"/>
  <c r="DA59" i="1" s="1"/>
  <c r="CV59" i="1"/>
  <c r="CO59" i="1"/>
  <c r="CP59" i="1" s="1"/>
  <c r="CR59" i="1" s="1"/>
  <c r="CI59" i="1"/>
  <c r="CJ59" i="1" s="1"/>
  <c r="CL59" i="1" s="1"/>
  <c r="CC59" i="1"/>
  <c r="CD59" i="1" s="1"/>
  <c r="CF59" i="1" s="1"/>
  <c r="CA59" i="1"/>
  <c r="AY59" i="1"/>
  <c r="AK59" i="1"/>
  <c r="AM59" i="1" s="1"/>
  <c r="AM49" i="1"/>
  <c r="AX61" i="1"/>
  <c r="AZ61" i="1" s="1"/>
  <c r="AX60" i="1"/>
  <c r="AZ60" i="1" s="1"/>
  <c r="AX59" i="1"/>
  <c r="AZ59" i="1" s="1"/>
  <c r="AZ49" i="1"/>
  <c r="BW49" i="1"/>
  <c r="BW59" i="1" s="1"/>
  <c r="BV49" i="1"/>
  <c r="BV59" i="1" s="1"/>
  <c r="BO49" i="1"/>
  <c r="BO59" i="1" s="1"/>
  <c r="BN49" i="1"/>
  <c r="BN59" i="1" s="1"/>
  <c r="BM49" i="1"/>
  <c r="BM59" i="1" s="1"/>
  <c r="BJ49" i="1"/>
  <c r="BJ59" i="1" s="1"/>
  <c r="AE49" i="1"/>
  <c r="AF49" i="1" s="1"/>
  <c r="M49" i="1"/>
  <c r="BA49" i="1"/>
  <c r="BL59" i="1"/>
  <c r="BG59" i="1" s="1"/>
  <c r="BG49" i="1"/>
  <c r="AC59" i="1"/>
  <c r="EI49" i="1"/>
  <c r="EC49" i="1"/>
  <c r="DW49" i="1"/>
  <c r="DN49" i="1"/>
  <c r="DH49" i="1"/>
  <c r="DB49" i="1"/>
  <c r="CS49" i="1"/>
  <c r="CM49" i="1"/>
  <c r="CG49" i="1"/>
  <c r="BE49" i="1"/>
  <c r="BH58" i="1"/>
  <c r="AB58" i="1" s="1"/>
  <c r="S58" i="1"/>
  <c r="R58" i="1"/>
  <c r="BH59" i="1"/>
  <c r="AB59" i="1" s="1"/>
  <c r="S59" i="1"/>
  <c r="R59" i="1"/>
  <c r="BH60" i="1"/>
  <c r="AB60" i="1" s="1"/>
  <c r="S60" i="1"/>
  <c r="R60" i="1"/>
  <c r="EE60" i="1"/>
  <c r="EF60" i="1" s="1"/>
  <c r="EH60" i="1" s="1"/>
  <c r="DY60" i="1"/>
  <c r="DZ60" i="1" s="1"/>
  <c r="EB60" i="1" s="1"/>
  <c r="DS60" i="1"/>
  <c r="DT60" i="1" s="1"/>
  <c r="DV60" i="1" s="1"/>
  <c r="DQ60" i="1"/>
  <c r="DJ60" i="1"/>
  <c r="DK60" i="1" s="1"/>
  <c r="DM60" i="1" s="1"/>
  <c r="DD60" i="1"/>
  <c r="DE60" i="1" s="1"/>
  <c r="DG60" i="1" s="1"/>
  <c r="CX60" i="1"/>
  <c r="CY60" i="1" s="1"/>
  <c r="DA60" i="1" s="1"/>
  <c r="CV60" i="1"/>
  <c r="CO60" i="1"/>
  <c r="CP60" i="1" s="1"/>
  <c r="CR60" i="1" s="1"/>
  <c r="CI60" i="1"/>
  <c r="CJ60" i="1" s="1"/>
  <c r="CL60" i="1" s="1"/>
  <c r="CC60" i="1"/>
  <c r="CD60" i="1" s="1"/>
  <c r="CF60" i="1" s="1"/>
  <c r="CA60" i="1"/>
  <c r="AY60" i="1"/>
  <c r="BD60" i="1"/>
  <c r="AK60" i="1"/>
  <c r="AM60" i="1" s="1"/>
  <c r="BW50" i="1"/>
  <c r="BW60" i="1" s="1"/>
  <c r="BV50" i="1"/>
  <c r="BV60" i="1" s="1"/>
  <c r="BO50" i="1"/>
  <c r="BO60" i="1" s="1"/>
  <c r="BN50" i="1"/>
  <c r="BN60" i="1" s="1"/>
  <c r="BM50" i="1"/>
  <c r="BM60" i="1" s="1"/>
  <c r="BJ50" i="1"/>
  <c r="BJ60" i="1" s="1"/>
  <c r="AE50" i="1"/>
  <c r="AF50" i="1" s="1"/>
  <c r="M50" i="1"/>
  <c r="BA50" i="1"/>
  <c r="BL60" i="1"/>
  <c r="BG60" i="1" s="1"/>
  <c r="BG50" i="1"/>
  <c r="BT60" i="1"/>
  <c r="BU60" i="1"/>
  <c r="AC60" i="1"/>
  <c r="EI50" i="1"/>
  <c r="EC50" i="1"/>
  <c r="DW50" i="1"/>
  <c r="DN50" i="1"/>
  <c r="DH50" i="1"/>
  <c r="DB50" i="1"/>
  <c r="CS50" i="1"/>
  <c r="CM50" i="1"/>
  <c r="CG50" i="1"/>
  <c r="BE50" i="1"/>
  <c r="BH57" i="1"/>
  <c r="AB57" i="1" s="1"/>
  <c r="S57" i="1"/>
  <c r="R57" i="1"/>
  <c r="EE61" i="1"/>
  <c r="EF61" i="1" s="1"/>
  <c r="EH61" i="1" s="1"/>
  <c r="DY61" i="1"/>
  <c r="DZ61" i="1" s="1"/>
  <c r="EB61" i="1" s="1"/>
  <c r="DS61" i="1"/>
  <c r="DT61" i="1" s="1"/>
  <c r="DV61" i="1" s="1"/>
  <c r="DQ61" i="1"/>
  <c r="DJ61" i="1"/>
  <c r="DK61" i="1" s="1"/>
  <c r="DM61" i="1" s="1"/>
  <c r="DD61" i="1"/>
  <c r="DE61" i="1" s="1"/>
  <c r="DG61" i="1" s="1"/>
  <c r="CX61" i="1"/>
  <c r="CY61" i="1" s="1"/>
  <c r="DA61" i="1" s="1"/>
  <c r="CV61" i="1"/>
  <c r="CO61" i="1"/>
  <c r="CP61" i="1" s="1"/>
  <c r="CR61" i="1" s="1"/>
  <c r="CI61" i="1"/>
  <c r="CJ61" i="1" s="1"/>
  <c r="CL61" i="1" s="1"/>
  <c r="CC61" i="1"/>
  <c r="CD61" i="1" s="1"/>
  <c r="CF61" i="1" s="1"/>
  <c r="CA61" i="1"/>
  <c r="AY61" i="1"/>
  <c r="BD61" i="1"/>
  <c r="AK61" i="1"/>
  <c r="AM61" i="1" s="1"/>
  <c r="BW51" i="1"/>
  <c r="BW61" i="1" s="1"/>
  <c r="BV51" i="1"/>
  <c r="BV61" i="1" s="1"/>
  <c r="BO51" i="1"/>
  <c r="BO61" i="1" s="1"/>
  <c r="BN51" i="1"/>
  <c r="BN61" i="1" s="1"/>
  <c r="BM51" i="1"/>
  <c r="BM61" i="1" s="1"/>
  <c r="BJ51" i="1"/>
  <c r="BJ61" i="1" s="1"/>
  <c r="AE51" i="1"/>
  <c r="AF51" i="1" s="1"/>
  <c r="M51" i="1"/>
  <c r="BA51" i="1"/>
  <c r="BL61" i="1"/>
  <c r="BG61" i="1" s="1"/>
  <c r="BG51" i="1"/>
  <c r="BT61" i="1"/>
  <c r="BU61" i="1"/>
  <c r="AC61" i="1"/>
  <c r="EI51" i="1"/>
  <c r="EC51" i="1"/>
  <c r="DW51" i="1"/>
  <c r="DN51" i="1"/>
  <c r="DH51" i="1"/>
  <c r="DB51" i="1"/>
  <c r="CS51" i="1"/>
  <c r="CM51" i="1"/>
  <c r="CG51" i="1"/>
  <c r="BE51" i="1"/>
  <c r="BH61" i="1"/>
  <c r="AB61" i="1" s="1"/>
  <c r="S61" i="1"/>
  <c r="R61" i="1"/>
  <c r="AE56" i="1"/>
  <c r="AF56" i="1" s="1"/>
  <c r="BA56" i="1"/>
  <c r="AE57" i="1"/>
  <c r="AF57" i="1" s="1"/>
  <c r="BA57" i="1"/>
  <c r="AE58" i="1"/>
  <c r="AF58" i="1" s="1"/>
  <c r="BA58" i="1"/>
  <c r="AA73" i="1"/>
  <c r="W73" i="1"/>
  <c r="EE73" i="1"/>
  <c r="EF73" i="1" s="1"/>
  <c r="EH73" i="1" s="1"/>
  <c r="DY73" i="1"/>
  <c r="DZ73" i="1" s="1"/>
  <c r="EB73" i="1" s="1"/>
  <c r="DS73" i="1"/>
  <c r="DT73" i="1" s="1"/>
  <c r="DV73" i="1" s="1"/>
  <c r="DQ73" i="1"/>
  <c r="DJ73" i="1"/>
  <c r="DK73" i="1" s="1"/>
  <c r="DM73" i="1" s="1"/>
  <c r="DD73" i="1"/>
  <c r="DE73" i="1" s="1"/>
  <c r="DG73" i="1" s="1"/>
  <c r="CX73" i="1"/>
  <c r="CY73" i="1" s="1"/>
  <c r="DA73" i="1" s="1"/>
  <c r="CV73" i="1"/>
  <c r="CO73" i="1"/>
  <c r="CP73" i="1" s="1"/>
  <c r="CR73" i="1" s="1"/>
  <c r="CI73" i="1"/>
  <c r="CJ73" i="1" s="1"/>
  <c r="CL73" i="1" s="1"/>
  <c r="CC73" i="1"/>
  <c r="CD73" i="1" s="1"/>
  <c r="CF73" i="1" s="1"/>
  <c r="CA73" i="1"/>
  <c r="AY73" i="1"/>
  <c r="AI75" i="1"/>
  <c r="AI74" i="1"/>
  <c r="AI73" i="1"/>
  <c r="AK63" i="1"/>
  <c r="AX75" i="1"/>
  <c r="AZ75" i="1" s="1"/>
  <c r="AX74" i="1"/>
  <c r="AZ74" i="1" s="1"/>
  <c r="AX73" i="1"/>
  <c r="AZ73" i="1" s="1"/>
  <c r="AZ63" i="1"/>
  <c r="BW63" i="1"/>
  <c r="BW73" i="1" s="1"/>
  <c r="BV63" i="1"/>
  <c r="BV73" i="1" s="1"/>
  <c r="BO63" i="1"/>
  <c r="BO73" i="1" s="1"/>
  <c r="BN63" i="1"/>
  <c r="BN73" i="1" s="1"/>
  <c r="BM63" i="1"/>
  <c r="BM73" i="1" s="1"/>
  <c r="BJ63" i="1"/>
  <c r="BJ73" i="1" s="1"/>
  <c r="AE63" i="1"/>
  <c r="AF63" i="1" s="1"/>
  <c r="Q63" i="1"/>
  <c r="O63" i="1"/>
  <c r="P63" i="1" s="1"/>
  <c r="BA63" i="1"/>
  <c r="BL73" i="1"/>
  <c r="BG73" i="1" s="1"/>
  <c r="BG63" i="1"/>
  <c r="AA74" i="1"/>
  <c r="W74" i="1"/>
  <c r="EE74" i="1"/>
  <c r="EF74" i="1" s="1"/>
  <c r="EH74" i="1" s="1"/>
  <c r="DY74" i="1"/>
  <c r="DZ74" i="1" s="1"/>
  <c r="EB74" i="1" s="1"/>
  <c r="DS74" i="1"/>
  <c r="DT74" i="1" s="1"/>
  <c r="DV74" i="1" s="1"/>
  <c r="DQ74" i="1"/>
  <c r="DJ74" i="1"/>
  <c r="DK74" i="1" s="1"/>
  <c r="DM74" i="1" s="1"/>
  <c r="DD74" i="1"/>
  <c r="DE74" i="1" s="1"/>
  <c r="DG74" i="1" s="1"/>
  <c r="CX74" i="1"/>
  <c r="CY74" i="1" s="1"/>
  <c r="DA74" i="1" s="1"/>
  <c r="CV74" i="1"/>
  <c r="CO74" i="1"/>
  <c r="CP74" i="1" s="1"/>
  <c r="CR74" i="1" s="1"/>
  <c r="CI74" i="1"/>
  <c r="CJ74" i="1" s="1"/>
  <c r="CL74" i="1" s="1"/>
  <c r="CC74" i="1"/>
  <c r="CD74" i="1" s="1"/>
  <c r="CF74" i="1" s="1"/>
  <c r="CA74" i="1"/>
  <c r="AY74" i="1"/>
  <c r="BD74" i="1"/>
  <c r="AK74" i="1"/>
  <c r="AM74" i="1" s="1"/>
  <c r="BW64" i="1"/>
  <c r="BW74" i="1" s="1"/>
  <c r="BV64" i="1"/>
  <c r="BV74" i="1" s="1"/>
  <c r="BO64" i="1"/>
  <c r="BO74" i="1" s="1"/>
  <c r="BN64" i="1"/>
  <c r="BN74" i="1" s="1"/>
  <c r="BM64" i="1"/>
  <c r="BM74" i="1" s="1"/>
  <c r="BJ64" i="1"/>
  <c r="BJ74" i="1" s="1"/>
  <c r="AE64" i="1"/>
  <c r="AF64" i="1" s="1"/>
  <c r="Q64" i="1"/>
  <c r="O64" i="1"/>
  <c r="P64" i="1" s="1"/>
  <c r="BA64" i="1"/>
  <c r="BL74" i="1"/>
  <c r="BG74" i="1" s="1"/>
  <c r="BG64" i="1"/>
  <c r="BT74" i="1"/>
  <c r="BU74" i="1"/>
  <c r="AA75" i="1"/>
  <c r="W75" i="1"/>
  <c r="EE75" i="1"/>
  <c r="EF75" i="1" s="1"/>
  <c r="EH75" i="1" s="1"/>
  <c r="DY75" i="1"/>
  <c r="DZ75" i="1" s="1"/>
  <c r="EB75" i="1" s="1"/>
  <c r="DS75" i="1"/>
  <c r="DT75" i="1" s="1"/>
  <c r="DV75" i="1" s="1"/>
  <c r="DQ75" i="1"/>
  <c r="DJ75" i="1"/>
  <c r="DK75" i="1" s="1"/>
  <c r="DM75" i="1" s="1"/>
  <c r="DD75" i="1"/>
  <c r="DE75" i="1" s="1"/>
  <c r="DG75" i="1" s="1"/>
  <c r="CX75" i="1"/>
  <c r="CY75" i="1" s="1"/>
  <c r="DA75" i="1" s="1"/>
  <c r="CV75" i="1"/>
  <c r="CO75" i="1"/>
  <c r="CP75" i="1" s="1"/>
  <c r="CR75" i="1" s="1"/>
  <c r="CI75" i="1"/>
  <c r="CJ75" i="1" s="1"/>
  <c r="CL75" i="1" s="1"/>
  <c r="CC75" i="1"/>
  <c r="CD75" i="1" s="1"/>
  <c r="CF75" i="1" s="1"/>
  <c r="CA75" i="1"/>
  <c r="AY75" i="1"/>
  <c r="BD75" i="1"/>
  <c r="AK75" i="1"/>
  <c r="AM75" i="1" s="1"/>
  <c r="BW65" i="1"/>
  <c r="BW75" i="1" s="1"/>
  <c r="BV65" i="1"/>
  <c r="BV75" i="1" s="1"/>
  <c r="BO65" i="1"/>
  <c r="BO75" i="1" s="1"/>
  <c r="BN65" i="1"/>
  <c r="BN75" i="1" s="1"/>
  <c r="BM65" i="1"/>
  <c r="BM75" i="1" s="1"/>
  <c r="BJ65" i="1"/>
  <c r="BJ75" i="1" s="1"/>
  <c r="AE65" i="1"/>
  <c r="AF65" i="1" s="1"/>
  <c r="Q65" i="1"/>
  <c r="O65" i="1"/>
  <c r="P65" i="1" s="1"/>
  <c r="BA65" i="1"/>
  <c r="BL75" i="1"/>
  <c r="BG75" i="1" s="1"/>
  <c r="BG65" i="1"/>
  <c r="BT75" i="1"/>
  <c r="BU75" i="1"/>
  <c r="AA76" i="1"/>
  <c r="W76" i="1"/>
  <c r="EE76" i="1"/>
  <c r="EF76" i="1" s="1"/>
  <c r="EH76" i="1" s="1"/>
  <c r="DY76" i="1"/>
  <c r="DZ76" i="1" s="1"/>
  <c r="EB76" i="1" s="1"/>
  <c r="DS76" i="1"/>
  <c r="DT76" i="1" s="1"/>
  <c r="DV76" i="1" s="1"/>
  <c r="DQ76" i="1"/>
  <c r="DJ76" i="1"/>
  <c r="DK76" i="1" s="1"/>
  <c r="DM76" i="1" s="1"/>
  <c r="DD76" i="1"/>
  <c r="DE76" i="1" s="1"/>
  <c r="DG76" i="1" s="1"/>
  <c r="CX76" i="1"/>
  <c r="CY76" i="1" s="1"/>
  <c r="DA76" i="1" s="1"/>
  <c r="CV76" i="1"/>
  <c r="CO76" i="1"/>
  <c r="CP76" i="1" s="1"/>
  <c r="CR76" i="1" s="1"/>
  <c r="CI76" i="1"/>
  <c r="CJ76" i="1" s="1"/>
  <c r="CL76" i="1" s="1"/>
  <c r="CC76" i="1"/>
  <c r="CD76" i="1" s="1"/>
  <c r="CF76" i="1" s="1"/>
  <c r="CA76" i="1"/>
  <c r="AY76" i="1"/>
  <c r="BD76" i="1"/>
  <c r="AI78" i="1"/>
  <c r="AI77" i="1"/>
  <c r="AI76" i="1"/>
  <c r="AK76" i="1" s="1"/>
  <c r="AM76" i="1" s="1"/>
  <c r="AK66" i="1"/>
  <c r="AM66" i="1" s="1"/>
  <c r="AX78" i="1"/>
  <c r="AZ78" i="1" s="1"/>
  <c r="AX77" i="1"/>
  <c r="AZ77" i="1" s="1"/>
  <c r="AX76" i="1"/>
  <c r="AZ76" i="1" s="1"/>
  <c r="AZ66" i="1"/>
  <c r="BW66" i="1"/>
  <c r="BW76" i="1" s="1"/>
  <c r="BV66" i="1"/>
  <c r="BV76" i="1" s="1"/>
  <c r="BO66" i="1"/>
  <c r="BO76" i="1" s="1"/>
  <c r="BN66" i="1"/>
  <c r="BN76" i="1" s="1"/>
  <c r="BM66" i="1"/>
  <c r="BM76" i="1" s="1"/>
  <c r="BJ66" i="1"/>
  <c r="BJ76" i="1" s="1"/>
  <c r="AE66" i="1"/>
  <c r="AF66" i="1" s="1"/>
  <c r="Q66" i="1"/>
  <c r="O66" i="1"/>
  <c r="P66" i="1" s="1"/>
  <c r="BA66" i="1"/>
  <c r="BL76" i="1"/>
  <c r="BG76" i="1" s="1"/>
  <c r="BG66" i="1"/>
  <c r="AA77" i="1"/>
  <c r="W77" i="1"/>
  <c r="EE77" i="1"/>
  <c r="EF77" i="1" s="1"/>
  <c r="EH77" i="1" s="1"/>
  <c r="DY77" i="1"/>
  <c r="DZ77" i="1" s="1"/>
  <c r="EB77" i="1" s="1"/>
  <c r="DS77" i="1"/>
  <c r="DT77" i="1" s="1"/>
  <c r="DV77" i="1" s="1"/>
  <c r="DQ77" i="1"/>
  <c r="DJ77" i="1"/>
  <c r="DK77" i="1" s="1"/>
  <c r="DM77" i="1" s="1"/>
  <c r="DD77" i="1"/>
  <c r="DE77" i="1" s="1"/>
  <c r="DG77" i="1" s="1"/>
  <c r="CX77" i="1"/>
  <c r="CY77" i="1" s="1"/>
  <c r="DA77" i="1" s="1"/>
  <c r="CV77" i="1"/>
  <c r="CO77" i="1"/>
  <c r="CP77" i="1" s="1"/>
  <c r="CR77" i="1" s="1"/>
  <c r="CI77" i="1"/>
  <c r="CJ77" i="1" s="1"/>
  <c r="CL77" i="1" s="1"/>
  <c r="CC77" i="1"/>
  <c r="CD77" i="1" s="1"/>
  <c r="CF77" i="1" s="1"/>
  <c r="CA77" i="1"/>
  <c r="AY77" i="1"/>
  <c r="BD77" i="1"/>
  <c r="AK77" i="1"/>
  <c r="AM77" i="1" s="1"/>
  <c r="BW67" i="1"/>
  <c r="BW77" i="1" s="1"/>
  <c r="BV67" i="1"/>
  <c r="BV77" i="1" s="1"/>
  <c r="BO67" i="1"/>
  <c r="BO77" i="1" s="1"/>
  <c r="BN67" i="1"/>
  <c r="BN77" i="1" s="1"/>
  <c r="BM67" i="1"/>
  <c r="BM77" i="1" s="1"/>
  <c r="BJ67" i="1"/>
  <c r="BJ77" i="1" s="1"/>
  <c r="AE67" i="1"/>
  <c r="AF67" i="1" s="1"/>
  <c r="Q67" i="1"/>
  <c r="O67" i="1"/>
  <c r="P67" i="1" s="1"/>
  <c r="BA67" i="1"/>
  <c r="BL77" i="1"/>
  <c r="BG77" i="1" s="1"/>
  <c r="BG67" i="1"/>
  <c r="BT77" i="1"/>
  <c r="BU77" i="1"/>
  <c r="AA78" i="1"/>
  <c r="W78" i="1"/>
  <c r="EE78" i="1"/>
  <c r="EF78" i="1" s="1"/>
  <c r="EH78" i="1" s="1"/>
  <c r="DY78" i="1"/>
  <c r="DZ78" i="1" s="1"/>
  <c r="EB78" i="1" s="1"/>
  <c r="DS78" i="1"/>
  <c r="DT78" i="1" s="1"/>
  <c r="DV78" i="1" s="1"/>
  <c r="DQ78" i="1"/>
  <c r="DJ78" i="1"/>
  <c r="DK78" i="1" s="1"/>
  <c r="DM78" i="1" s="1"/>
  <c r="DD78" i="1"/>
  <c r="DE78" i="1" s="1"/>
  <c r="DG78" i="1" s="1"/>
  <c r="CX78" i="1"/>
  <c r="CY78" i="1" s="1"/>
  <c r="DA78" i="1" s="1"/>
  <c r="CV78" i="1"/>
  <c r="CO78" i="1"/>
  <c r="CP78" i="1" s="1"/>
  <c r="CR78" i="1" s="1"/>
  <c r="CI78" i="1"/>
  <c r="CJ78" i="1" s="1"/>
  <c r="CL78" i="1" s="1"/>
  <c r="CC78" i="1"/>
  <c r="CD78" i="1" s="1"/>
  <c r="CF78" i="1" s="1"/>
  <c r="CA78" i="1"/>
  <c r="AY78" i="1"/>
  <c r="BD78" i="1"/>
  <c r="AK78" i="1"/>
  <c r="AM78" i="1" s="1"/>
  <c r="BW68" i="1"/>
  <c r="BW78" i="1" s="1"/>
  <c r="BV68" i="1"/>
  <c r="BV78" i="1" s="1"/>
  <c r="BO68" i="1"/>
  <c r="BO78" i="1" s="1"/>
  <c r="BN68" i="1"/>
  <c r="BN78" i="1" s="1"/>
  <c r="BM68" i="1"/>
  <c r="BM78" i="1" s="1"/>
  <c r="BJ68" i="1"/>
  <c r="BJ78" i="1" s="1"/>
  <c r="AE68" i="1"/>
  <c r="AF68" i="1" s="1"/>
  <c r="Q68" i="1"/>
  <c r="O68" i="1"/>
  <c r="P68" i="1" s="1"/>
  <c r="BA68" i="1"/>
  <c r="BL78" i="1"/>
  <c r="BG78" i="1" s="1"/>
  <c r="BG68" i="1"/>
  <c r="BT78" i="1"/>
  <c r="BU78" i="1"/>
  <c r="AA79" i="1"/>
  <c r="W79" i="1"/>
  <c r="EE79" i="1"/>
  <c r="EF79" i="1" s="1"/>
  <c r="EH79" i="1" s="1"/>
  <c r="DY79" i="1"/>
  <c r="DZ79" i="1" s="1"/>
  <c r="EB79" i="1" s="1"/>
  <c r="DS79" i="1"/>
  <c r="DT79" i="1" s="1"/>
  <c r="DV79" i="1" s="1"/>
  <c r="DQ79" i="1"/>
  <c r="DJ79" i="1"/>
  <c r="DK79" i="1" s="1"/>
  <c r="DM79" i="1" s="1"/>
  <c r="DD79" i="1"/>
  <c r="DE79" i="1" s="1"/>
  <c r="DG79" i="1" s="1"/>
  <c r="CX79" i="1"/>
  <c r="CY79" i="1" s="1"/>
  <c r="DA79" i="1" s="1"/>
  <c r="CV79" i="1"/>
  <c r="CO79" i="1"/>
  <c r="CP79" i="1" s="1"/>
  <c r="CR79" i="1" s="1"/>
  <c r="CI79" i="1"/>
  <c r="CJ79" i="1" s="1"/>
  <c r="CL79" i="1" s="1"/>
  <c r="CC79" i="1"/>
  <c r="CD79" i="1" s="1"/>
  <c r="CF79" i="1" s="1"/>
  <c r="CA79" i="1"/>
  <c r="AY79" i="1"/>
  <c r="AI81" i="1"/>
  <c r="AI80" i="1"/>
  <c r="AI79" i="1"/>
  <c r="AK69" i="1"/>
  <c r="AX81" i="1"/>
  <c r="AZ81" i="1" s="1"/>
  <c r="AX80" i="1"/>
  <c r="AZ80" i="1" s="1"/>
  <c r="AX79" i="1"/>
  <c r="AZ79" i="1" s="1"/>
  <c r="AZ69" i="1"/>
  <c r="BW69" i="1"/>
  <c r="BW79" i="1" s="1"/>
  <c r="BV69" i="1"/>
  <c r="BV79" i="1" s="1"/>
  <c r="BO69" i="1"/>
  <c r="BO79" i="1" s="1"/>
  <c r="BN69" i="1"/>
  <c r="BN79" i="1" s="1"/>
  <c r="BM69" i="1"/>
  <c r="BM79" i="1" s="1"/>
  <c r="BJ69" i="1"/>
  <c r="BJ79" i="1" s="1"/>
  <c r="AE69" i="1"/>
  <c r="AF69" i="1" s="1"/>
  <c r="Q69" i="1"/>
  <c r="O69" i="1"/>
  <c r="P69" i="1" s="1"/>
  <c r="BA69" i="1"/>
  <c r="BL79" i="1"/>
  <c r="BG79" i="1" s="1"/>
  <c r="BG69" i="1"/>
  <c r="AA80" i="1"/>
  <c r="W80" i="1"/>
  <c r="EE80" i="1"/>
  <c r="EF80" i="1" s="1"/>
  <c r="EH80" i="1" s="1"/>
  <c r="DY80" i="1"/>
  <c r="DZ80" i="1" s="1"/>
  <c r="EB80" i="1" s="1"/>
  <c r="DS80" i="1"/>
  <c r="DT80" i="1" s="1"/>
  <c r="DV80" i="1" s="1"/>
  <c r="DQ80" i="1"/>
  <c r="DJ80" i="1"/>
  <c r="DK80" i="1" s="1"/>
  <c r="DM80" i="1" s="1"/>
  <c r="DD80" i="1"/>
  <c r="DE80" i="1" s="1"/>
  <c r="DG80" i="1" s="1"/>
  <c r="CX80" i="1"/>
  <c r="CY80" i="1" s="1"/>
  <c r="DA80" i="1" s="1"/>
  <c r="CV80" i="1"/>
  <c r="CO80" i="1"/>
  <c r="CP80" i="1" s="1"/>
  <c r="CR80" i="1" s="1"/>
  <c r="CI80" i="1"/>
  <c r="CJ80" i="1" s="1"/>
  <c r="CL80" i="1" s="1"/>
  <c r="CC80" i="1"/>
  <c r="CD80" i="1" s="1"/>
  <c r="CF80" i="1" s="1"/>
  <c r="CA80" i="1"/>
  <c r="AY80" i="1"/>
  <c r="BD80" i="1"/>
  <c r="AK80" i="1"/>
  <c r="AM80" i="1" s="1"/>
  <c r="BW70" i="1"/>
  <c r="BW80" i="1" s="1"/>
  <c r="BV70" i="1"/>
  <c r="BV80" i="1" s="1"/>
  <c r="BO70" i="1"/>
  <c r="BO80" i="1" s="1"/>
  <c r="BN70" i="1"/>
  <c r="BN80" i="1" s="1"/>
  <c r="BM70" i="1"/>
  <c r="BM80" i="1" s="1"/>
  <c r="BJ70" i="1"/>
  <c r="BJ80" i="1" s="1"/>
  <c r="AE70" i="1"/>
  <c r="AF70" i="1" s="1"/>
  <c r="Q70" i="1"/>
  <c r="O70" i="1"/>
  <c r="P70" i="1" s="1"/>
  <c r="BA70" i="1"/>
  <c r="BL80" i="1"/>
  <c r="BG80" i="1" s="1"/>
  <c r="BG70" i="1"/>
  <c r="BT80" i="1"/>
  <c r="BU80" i="1"/>
  <c r="AA81" i="1"/>
  <c r="W81" i="1"/>
  <c r="EE81" i="1"/>
  <c r="EF81" i="1" s="1"/>
  <c r="EH81" i="1" s="1"/>
  <c r="DY81" i="1"/>
  <c r="DZ81" i="1" s="1"/>
  <c r="EB81" i="1" s="1"/>
  <c r="DS81" i="1"/>
  <c r="DT81" i="1" s="1"/>
  <c r="DV81" i="1" s="1"/>
  <c r="DQ81" i="1"/>
  <c r="DJ81" i="1"/>
  <c r="DK81" i="1" s="1"/>
  <c r="DM81" i="1" s="1"/>
  <c r="DD81" i="1"/>
  <c r="DE81" i="1" s="1"/>
  <c r="DG81" i="1" s="1"/>
  <c r="CX81" i="1"/>
  <c r="CY81" i="1" s="1"/>
  <c r="DA81" i="1" s="1"/>
  <c r="CV81" i="1"/>
  <c r="CO81" i="1"/>
  <c r="CP81" i="1" s="1"/>
  <c r="CR81" i="1" s="1"/>
  <c r="CI81" i="1"/>
  <c r="CJ81" i="1" s="1"/>
  <c r="CL81" i="1" s="1"/>
  <c r="CC81" i="1"/>
  <c r="CD81" i="1" s="1"/>
  <c r="CF81" i="1" s="1"/>
  <c r="CA81" i="1"/>
  <c r="AY81" i="1"/>
  <c r="BD81" i="1"/>
  <c r="AK81" i="1"/>
  <c r="AM81" i="1" s="1"/>
  <c r="BW71" i="1"/>
  <c r="BW81" i="1" s="1"/>
  <c r="BV71" i="1"/>
  <c r="BV81" i="1" s="1"/>
  <c r="BO71" i="1"/>
  <c r="BO81" i="1" s="1"/>
  <c r="BN71" i="1"/>
  <c r="BN81" i="1" s="1"/>
  <c r="BM71" i="1"/>
  <c r="BM81" i="1" s="1"/>
  <c r="BJ71" i="1"/>
  <c r="BJ81" i="1" s="1"/>
  <c r="AE71" i="1"/>
  <c r="AF71" i="1" s="1"/>
  <c r="Q71" i="1"/>
  <c r="O71" i="1"/>
  <c r="P71" i="1" s="1"/>
  <c r="BA71" i="1"/>
  <c r="BL81" i="1"/>
  <c r="BG81" i="1" s="1"/>
  <c r="BG71" i="1"/>
  <c r="BT81" i="1"/>
  <c r="BU81" i="1"/>
  <c r="AA93" i="1"/>
  <c r="W93" i="1"/>
  <c r="EE93" i="1"/>
  <c r="EF93" i="1" s="1"/>
  <c r="EH93" i="1" s="1"/>
  <c r="DY93" i="1"/>
  <c r="DZ93" i="1" s="1"/>
  <c r="EB93" i="1" s="1"/>
  <c r="DS93" i="1"/>
  <c r="DT93" i="1" s="1"/>
  <c r="DV93" i="1" s="1"/>
  <c r="DQ93" i="1"/>
  <c r="DJ93" i="1"/>
  <c r="DK93" i="1" s="1"/>
  <c r="DM93" i="1" s="1"/>
  <c r="DD93" i="1"/>
  <c r="DE93" i="1" s="1"/>
  <c r="DG93" i="1" s="1"/>
  <c r="CX93" i="1"/>
  <c r="CY93" i="1" s="1"/>
  <c r="DA93" i="1" s="1"/>
  <c r="CV93" i="1"/>
  <c r="CO93" i="1"/>
  <c r="CP93" i="1" s="1"/>
  <c r="CR93" i="1" s="1"/>
  <c r="CI93" i="1"/>
  <c r="CJ93" i="1" s="1"/>
  <c r="CL93" i="1" s="1"/>
  <c r="CC93" i="1"/>
  <c r="CD93" i="1" s="1"/>
  <c r="CF93" i="1" s="1"/>
  <c r="CA93" i="1"/>
  <c r="AY93" i="1"/>
  <c r="AK93" i="1"/>
  <c r="AM93" i="1" s="1"/>
  <c r="AM83" i="1"/>
  <c r="AX95" i="1"/>
  <c r="AZ95" i="1" s="1"/>
  <c r="AX94" i="1"/>
  <c r="AZ94" i="1" s="1"/>
  <c r="AX93" i="1"/>
  <c r="AZ93" i="1" s="1"/>
  <c r="AZ83" i="1"/>
  <c r="BW83" i="1"/>
  <c r="BW93" i="1" s="1"/>
  <c r="BV83" i="1"/>
  <c r="BV93" i="1" s="1"/>
  <c r="BO83" i="1"/>
  <c r="BO93" i="1" s="1"/>
  <c r="BN83" i="1"/>
  <c r="BN93" i="1" s="1"/>
  <c r="BM83" i="1"/>
  <c r="BM93" i="1" s="1"/>
  <c r="BJ83" i="1"/>
  <c r="BJ93" i="1" s="1"/>
  <c r="AE83" i="1"/>
  <c r="Q83" i="1"/>
  <c r="O83" i="1"/>
  <c r="P83" i="1" s="1"/>
  <c r="BA83" i="1"/>
  <c r="BL93" i="1"/>
  <c r="BG93" i="1" s="1"/>
  <c r="BG83" i="1"/>
  <c r="AA94" i="1"/>
  <c r="W94" i="1"/>
  <c r="EE94" i="1"/>
  <c r="EF94" i="1" s="1"/>
  <c r="EH94" i="1" s="1"/>
  <c r="DY94" i="1"/>
  <c r="DZ94" i="1" s="1"/>
  <c r="EB94" i="1" s="1"/>
  <c r="DS94" i="1"/>
  <c r="DT94" i="1" s="1"/>
  <c r="DV94" i="1" s="1"/>
  <c r="DQ94" i="1"/>
  <c r="DJ94" i="1"/>
  <c r="DK94" i="1" s="1"/>
  <c r="DM94" i="1" s="1"/>
  <c r="DD94" i="1"/>
  <c r="DE94" i="1" s="1"/>
  <c r="DG94" i="1" s="1"/>
  <c r="CX94" i="1"/>
  <c r="CY94" i="1" s="1"/>
  <c r="DA94" i="1" s="1"/>
  <c r="CV94" i="1"/>
  <c r="CO94" i="1"/>
  <c r="CP94" i="1" s="1"/>
  <c r="CR94" i="1" s="1"/>
  <c r="CI94" i="1"/>
  <c r="CJ94" i="1" s="1"/>
  <c r="CL94" i="1" s="1"/>
  <c r="CC94" i="1"/>
  <c r="CD94" i="1" s="1"/>
  <c r="CF94" i="1" s="1"/>
  <c r="CA94" i="1"/>
  <c r="AY94" i="1"/>
  <c r="BD94" i="1"/>
  <c r="AK94" i="1"/>
  <c r="AM94" i="1" s="1"/>
  <c r="BW84" i="1"/>
  <c r="BW94" i="1" s="1"/>
  <c r="BV84" i="1"/>
  <c r="BV94" i="1" s="1"/>
  <c r="BO84" i="1"/>
  <c r="BO94" i="1" s="1"/>
  <c r="BN84" i="1"/>
  <c r="BN94" i="1" s="1"/>
  <c r="BM84" i="1"/>
  <c r="BM94" i="1" s="1"/>
  <c r="BJ84" i="1"/>
  <c r="BJ94" i="1" s="1"/>
  <c r="AE84" i="1"/>
  <c r="Q84" i="1"/>
  <c r="O84" i="1"/>
  <c r="P84" i="1" s="1"/>
  <c r="BA84" i="1"/>
  <c r="BL94" i="1"/>
  <c r="BG94" i="1" s="1"/>
  <c r="BG84" i="1"/>
  <c r="BT94" i="1"/>
  <c r="BU94" i="1"/>
  <c r="AA95" i="1"/>
  <c r="W95" i="1"/>
  <c r="EE95" i="1"/>
  <c r="EF95" i="1" s="1"/>
  <c r="EH95" i="1" s="1"/>
  <c r="DY95" i="1"/>
  <c r="DZ95" i="1" s="1"/>
  <c r="EB95" i="1" s="1"/>
  <c r="DS95" i="1"/>
  <c r="DT95" i="1" s="1"/>
  <c r="DV95" i="1" s="1"/>
  <c r="DQ95" i="1"/>
  <c r="DJ95" i="1"/>
  <c r="DK95" i="1" s="1"/>
  <c r="DM95" i="1" s="1"/>
  <c r="DD95" i="1"/>
  <c r="DE95" i="1" s="1"/>
  <c r="DG95" i="1" s="1"/>
  <c r="CX95" i="1"/>
  <c r="CY95" i="1" s="1"/>
  <c r="DA95" i="1" s="1"/>
  <c r="CV95" i="1"/>
  <c r="CO95" i="1"/>
  <c r="CP95" i="1" s="1"/>
  <c r="CR95" i="1" s="1"/>
  <c r="CI95" i="1"/>
  <c r="CJ95" i="1" s="1"/>
  <c r="CL95" i="1" s="1"/>
  <c r="CC95" i="1"/>
  <c r="CD95" i="1" s="1"/>
  <c r="CF95" i="1" s="1"/>
  <c r="CA95" i="1"/>
  <c r="AY95" i="1"/>
  <c r="BD95" i="1"/>
  <c r="AK95" i="1"/>
  <c r="AM95" i="1" s="1"/>
  <c r="BW85" i="1"/>
  <c r="BW95" i="1" s="1"/>
  <c r="BV85" i="1"/>
  <c r="BV95" i="1" s="1"/>
  <c r="BO85" i="1"/>
  <c r="BO95" i="1" s="1"/>
  <c r="BN85" i="1"/>
  <c r="BN95" i="1" s="1"/>
  <c r="BM85" i="1"/>
  <c r="BM95" i="1" s="1"/>
  <c r="BJ85" i="1"/>
  <c r="BJ95" i="1" s="1"/>
  <c r="AE85" i="1"/>
  <c r="Q85" i="1"/>
  <c r="O85" i="1"/>
  <c r="P85" i="1" s="1"/>
  <c r="BA85" i="1"/>
  <c r="BL95" i="1"/>
  <c r="BG95" i="1" s="1"/>
  <c r="BG85" i="1"/>
  <c r="BT95" i="1"/>
  <c r="BU95" i="1"/>
  <c r="AA96" i="1"/>
  <c r="W96" i="1"/>
  <c r="EE96" i="1"/>
  <c r="EF96" i="1" s="1"/>
  <c r="EH96" i="1" s="1"/>
  <c r="DY96" i="1"/>
  <c r="DZ96" i="1" s="1"/>
  <c r="EB96" i="1" s="1"/>
  <c r="DS96" i="1"/>
  <c r="DT96" i="1" s="1"/>
  <c r="DV96" i="1" s="1"/>
  <c r="DQ96" i="1"/>
  <c r="DJ96" i="1"/>
  <c r="DK96" i="1" s="1"/>
  <c r="DM96" i="1" s="1"/>
  <c r="DD96" i="1"/>
  <c r="DE96" i="1" s="1"/>
  <c r="DG96" i="1" s="1"/>
  <c r="CX96" i="1"/>
  <c r="CY96" i="1" s="1"/>
  <c r="DA96" i="1" s="1"/>
  <c r="CV96" i="1"/>
  <c r="CO96" i="1"/>
  <c r="CP96" i="1" s="1"/>
  <c r="CR96" i="1" s="1"/>
  <c r="CI96" i="1"/>
  <c r="CJ96" i="1" s="1"/>
  <c r="CL96" i="1" s="1"/>
  <c r="CC96" i="1"/>
  <c r="CD96" i="1" s="1"/>
  <c r="CF96" i="1" s="1"/>
  <c r="CA96" i="1"/>
  <c r="AY96" i="1"/>
  <c r="BD96" i="1"/>
  <c r="AK96" i="1"/>
  <c r="AM96" i="1" s="1"/>
  <c r="AX98" i="1"/>
  <c r="AZ98" i="1" s="1"/>
  <c r="AX97" i="1"/>
  <c r="AZ97" i="1" s="1"/>
  <c r="AX96" i="1"/>
  <c r="AZ96" i="1" s="1"/>
  <c r="AZ86" i="1"/>
  <c r="BW86" i="1"/>
  <c r="BW96" i="1" s="1"/>
  <c r="BV86" i="1"/>
  <c r="BV96" i="1" s="1"/>
  <c r="BO86" i="1"/>
  <c r="BO96" i="1" s="1"/>
  <c r="BN86" i="1"/>
  <c r="BN96" i="1" s="1"/>
  <c r="BM86" i="1"/>
  <c r="BM96" i="1" s="1"/>
  <c r="BJ86" i="1"/>
  <c r="BJ96" i="1" s="1"/>
  <c r="AE86" i="1"/>
  <c r="Q86" i="1"/>
  <c r="O86" i="1"/>
  <c r="P86" i="1" s="1"/>
  <c r="BA86" i="1"/>
  <c r="BL96" i="1"/>
  <c r="BG96" i="1" s="1"/>
  <c r="BG86" i="1"/>
  <c r="AA97" i="1"/>
  <c r="W97" i="1"/>
  <c r="EE97" i="1"/>
  <c r="EF97" i="1" s="1"/>
  <c r="EH97" i="1" s="1"/>
  <c r="DY97" i="1"/>
  <c r="DZ97" i="1" s="1"/>
  <c r="EB97" i="1" s="1"/>
  <c r="DS97" i="1"/>
  <c r="DT97" i="1" s="1"/>
  <c r="DV97" i="1" s="1"/>
  <c r="DQ97" i="1"/>
  <c r="DJ97" i="1"/>
  <c r="DK97" i="1" s="1"/>
  <c r="DM97" i="1" s="1"/>
  <c r="DD97" i="1"/>
  <c r="DE97" i="1" s="1"/>
  <c r="DG97" i="1" s="1"/>
  <c r="CX97" i="1"/>
  <c r="CY97" i="1" s="1"/>
  <c r="DA97" i="1" s="1"/>
  <c r="CV97" i="1"/>
  <c r="CO97" i="1"/>
  <c r="CP97" i="1" s="1"/>
  <c r="CR97" i="1" s="1"/>
  <c r="CI97" i="1"/>
  <c r="CJ97" i="1" s="1"/>
  <c r="CL97" i="1" s="1"/>
  <c r="CC97" i="1"/>
  <c r="CD97" i="1" s="1"/>
  <c r="CF97" i="1" s="1"/>
  <c r="CA97" i="1"/>
  <c r="AY97" i="1"/>
  <c r="BD97" i="1"/>
  <c r="AK97" i="1"/>
  <c r="AM97" i="1" s="1"/>
  <c r="BW87" i="1"/>
  <c r="BW97" i="1" s="1"/>
  <c r="BV87" i="1"/>
  <c r="BV97" i="1" s="1"/>
  <c r="BO87" i="1"/>
  <c r="BO97" i="1" s="1"/>
  <c r="BN87" i="1"/>
  <c r="BN97" i="1" s="1"/>
  <c r="BM87" i="1"/>
  <c r="BM97" i="1" s="1"/>
  <c r="BJ87" i="1"/>
  <c r="BJ97" i="1" s="1"/>
  <c r="AE87" i="1"/>
  <c r="Q87" i="1"/>
  <c r="O87" i="1"/>
  <c r="P87" i="1" s="1"/>
  <c r="BA87" i="1"/>
  <c r="BL97" i="1"/>
  <c r="BG97" i="1" s="1"/>
  <c r="BG87" i="1"/>
  <c r="BT97" i="1"/>
  <c r="BU97" i="1"/>
  <c r="AA98" i="1"/>
  <c r="W98" i="1"/>
  <c r="EE98" i="1"/>
  <c r="EF98" i="1" s="1"/>
  <c r="EH98" i="1" s="1"/>
  <c r="DY98" i="1"/>
  <c r="DZ98" i="1" s="1"/>
  <c r="EB98" i="1" s="1"/>
  <c r="DS98" i="1"/>
  <c r="DT98" i="1" s="1"/>
  <c r="DV98" i="1" s="1"/>
  <c r="DQ98" i="1"/>
  <c r="DJ98" i="1"/>
  <c r="DK98" i="1" s="1"/>
  <c r="DM98" i="1" s="1"/>
  <c r="DD98" i="1"/>
  <c r="DE98" i="1" s="1"/>
  <c r="DG98" i="1" s="1"/>
  <c r="CX98" i="1"/>
  <c r="CY98" i="1" s="1"/>
  <c r="DA98" i="1" s="1"/>
  <c r="CV98" i="1"/>
  <c r="CO98" i="1"/>
  <c r="CP98" i="1" s="1"/>
  <c r="CR98" i="1" s="1"/>
  <c r="CI98" i="1"/>
  <c r="CJ98" i="1" s="1"/>
  <c r="CL98" i="1" s="1"/>
  <c r="CC98" i="1"/>
  <c r="CD98" i="1" s="1"/>
  <c r="CF98" i="1" s="1"/>
  <c r="CA98" i="1"/>
  <c r="AY98" i="1"/>
  <c r="BD98" i="1"/>
  <c r="AK98" i="1"/>
  <c r="AM98" i="1" s="1"/>
  <c r="BW88" i="1"/>
  <c r="BW98" i="1" s="1"/>
  <c r="BV88" i="1"/>
  <c r="BV98" i="1" s="1"/>
  <c r="BO88" i="1"/>
  <c r="BO98" i="1" s="1"/>
  <c r="BN88" i="1"/>
  <c r="BN98" i="1" s="1"/>
  <c r="BM88" i="1"/>
  <c r="BM98" i="1" s="1"/>
  <c r="BJ88" i="1"/>
  <c r="BJ98" i="1" s="1"/>
  <c r="AE88" i="1"/>
  <c r="Q88" i="1"/>
  <c r="O88" i="1"/>
  <c r="P88" i="1" s="1"/>
  <c r="BA88" i="1"/>
  <c r="BL98" i="1"/>
  <c r="BG98" i="1" s="1"/>
  <c r="BG88" i="1"/>
  <c r="BT98" i="1"/>
  <c r="BU98" i="1"/>
  <c r="AA99" i="1"/>
  <c r="W99" i="1"/>
  <c r="EE99" i="1"/>
  <c r="EF99" i="1" s="1"/>
  <c r="EH99" i="1" s="1"/>
  <c r="DY99" i="1"/>
  <c r="DZ99" i="1" s="1"/>
  <c r="EB99" i="1" s="1"/>
  <c r="DS99" i="1"/>
  <c r="DT99" i="1" s="1"/>
  <c r="DV99" i="1" s="1"/>
  <c r="DQ99" i="1"/>
  <c r="DJ99" i="1"/>
  <c r="DK99" i="1" s="1"/>
  <c r="DM99" i="1" s="1"/>
  <c r="DD99" i="1"/>
  <c r="DE99" i="1" s="1"/>
  <c r="DG99" i="1" s="1"/>
  <c r="CX99" i="1"/>
  <c r="CY99" i="1" s="1"/>
  <c r="DA99" i="1" s="1"/>
  <c r="CV99" i="1"/>
  <c r="CO99" i="1"/>
  <c r="CP99" i="1" s="1"/>
  <c r="CR99" i="1" s="1"/>
  <c r="CI99" i="1"/>
  <c r="CJ99" i="1" s="1"/>
  <c r="CL99" i="1" s="1"/>
  <c r="CC99" i="1"/>
  <c r="CD99" i="1" s="1"/>
  <c r="CF99" i="1" s="1"/>
  <c r="CA99" i="1"/>
  <c r="AY99" i="1"/>
  <c r="AK99" i="1"/>
  <c r="AM99" i="1" s="1"/>
  <c r="AM89" i="1"/>
  <c r="AX101" i="1"/>
  <c r="AZ101" i="1" s="1"/>
  <c r="AX100" i="1"/>
  <c r="AZ100" i="1" s="1"/>
  <c r="AX99" i="1"/>
  <c r="AZ99" i="1" s="1"/>
  <c r="AZ89" i="1"/>
  <c r="BW89" i="1"/>
  <c r="BW99" i="1" s="1"/>
  <c r="BV89" i="1"/>
  <c r="BV99" i="1" s="1"/>
  <c r="BO89" i="1"/>
  <c r="BO99" i="1" s="1"/>
  <c r="BN89" i="1"/>
  <c r="BN99" i="1" s="1"/>
  <c r="BM89" i="1"/>
  <c r="BM99" i="1" s="1"/>
  <c r="BJ89" i="1"/>
  <c r="BJ99" i="1" s="1"/>
  <c r="AE89" i="1"/>
  <c r="Q89" i="1"/>
  <c r="O89" i="1"/>
  <c r="P89" i="1" s="1"/>
  <c r="BA89" i="1"/>
  <c r="BL99" i="1"/>
  <c r="BG99" i="1" s="1"/>
  <c r="BG89" i="1"/>
  <c r="AA100" i="1"/>
  <c r="W100" i="1"/>
  <c r="EE100" i="1"/>
  <c r="EF100" i="1" s="1"/>
  <c r="EH100" i="1" s="1"/>
  <c r="DY100" i="1"/>
  <c r="DZ100" i="1" s="1"/>
  <c r="EB100" i="1" s="1"/>
  <c r="DS100" i="1"/>
  <c r="DT100" i="1" s="1"/>
  <c r="DV100" i="1" s="1"/>
  <c r="DQ100" i="1"/>
  <c r="DJ100" i="1"/>
  <c r="DK100" i="1" s="1"/>
  <c r="DM100" i="1" s="1"/>
  <c r="DD100" i="1"/>
  <c r="DE100" i="1" s="1"/>
  <c r="DG100" i="1" s="1"/>
  <c r="CX100" i="1"/>
  <c r="CY100" i="1" s="1"/>
  <c r="DA100" i="1" s="1"/>
  <c r="CV100" i="1"/>
  <c r="CO100" i="1"/>
  <c r="CP100" i="1" s="1"/>
  <c r="CR100" i="1" s="1"/>
  <c r="CI100" i="1"/>
  <c r="CJ100" i="1" s="1"/>
  <c r="CL100" i="1" s="1"/>
  <c r="CC100" i="1"/>
  <c r="CD100" i="1" s="1"/>
  <c r="CF100" i="1" s="1"/>
  <c r="CA100" i="1"/>
  <c r="AY100" i="1"/>
  <c r="BD100" i="1"/>
  <c r="AK100" i="1"/>
  <c r="AM100" i="1" s="1"/>
  <c r="BW90" i="1"/>
  <c r="BW100" i="1" s="1"/>
  <c r="BV90" i="1"/>
  <c r="BV100" i="1" s="1"/>
  <c r="BO90" i="1"/>
  <c r="BO100" i="1" s="1"/>
  <c r="BN90" i="1"/>
  <c r="BN100" i="1" s="1"/>
  <c r="BM90" i="1"/>
  <c r="BM100" i="1" s="1"/>
  <c r="BJ90" i="1"/>
  <c r="BJ100" i="1" s="1"/>
  <c r="AE90" i="1"/>
  <c r="Q90" i="1"/>
  <c r="O90" i="1"/>
  <c r="P90" i="1" s="1"/>
  <c r="BA90" i="1"/>
  <c r="BL100" i="1"/>
  <c r="BG100" i="1" s="1"/>
  <c r="BG90" i="1"/>
  <c r="BT100" i="1"/>
  <c r="BU100" i="1"/>
  <c r="AA101" i="1"/>
  <c r="W101" i="1"/>
  <c r="EE101" i="1"/>
  <c r="EF101" i="1" s="1"/>
  <c r="EH101" i="1" s="1"/>
  <c r="DY101" i="1"/>
  <c r="DZ101" i="1" s="1"/>
  <c r="EB101" i="1" s="1"/>
  <c r="DS101" i="1"/>
  <c r="DT101" i="1" s="1"/>
  <c r="DV101" i="1" s="1"/>
  <c r="DQ101" i="1"/>
  <c r="DJ101" i="1"/>
  <c r="DK101" i="1" s="1"/>
  <c r="DM101" i="1" s="1"/>
  <c r="DD101" i="1"/>
  <c r="DE101" i="1" s="1"/>
  <c r="DG101" i="1" s="1"/>
  <c r="CX101" i="1"/>
  <c r="CY101" i="1" s="1"/>
  <c r="DA101" i="1" s="1"/>
  <c r="CV101" i="1"/>
  <c r="CO101" i="1"/>
  <c r="CP101" i="1" s="1"/>
  <c r="CR101" i="1" s="1"/>
  <c r="CI101" i="1"/>
  <c r="CJ101" i="1" s="1"/>
  <c r="CL101" i="1" s="1"/>
  <c r="CC101" i="1"/>
  <c r="CD101" i="1" s="1"/>
  <c r="CF101" i="1" s="1"/>
  <c r="CA101" i="1"/>
  <c r="AY101" i="1"/>
  <c r="BD101" i="1"/>
  <c r="AK101" i="1"/>
  <c r="AM101" i="1" s="1"/>
  <c r="BW91" i="1"/>
  <c r="BW101" i="1" s="1"/>
  <c r="BV91" i="1"/>
  <c r="BV101" i="1" s="1"/>
  <c r="BO91" i="1"/>
  <c r="BO101" i="1" s="1"/>
  <c r="BN91" i="1"/>
  <c r="BN101" i="1" s="1"/>
  <c r="BM91" i="1"/>
  <c r="BM101" i="1" s="1"/>
  <c r="BJ91" i="1"/>
  <c r="BJ101" i="1" s="1"/>
  <c r="AE91" i="1"/>
  <c r="Q91" i="1"/>
  <c r="O91" i="1"/>
  <c r="P91" i="1" s="1"/>
  <c r="BA91" i="1"/>
  <c r="BL101" i="1"/>
  <c r="BG101" i="1" s="1"/>
  <c r="BG91" i="1"/>
  <c r="BT101" i="1"/>
  <c r="BU101" i="1"/>
  <c r="AA113" i="1"/>
  <c r="W113" i="1"/>
  <c r="EE113" i="1"/>
  <c r="EF113" i="1" s="1"/>
  <c r="EH113" i="1" s="1"/>
  <c r="DY113" i="1"/>
  <c r="DZ113" i="1" s="1"/>
  <c r="EB113" i="1" s="1"/>
  <c r="DS113" i="1"/>
  <c r="DT113" i="1" s="1"/>
  <c r="DV113" i="1" s="1"/>
  <c r="DQ113" i="1"/>
  <c r="DJ113" i="1"/>
  <c r="DK113" i="1" s="1"/>
  <c r="DM113" i="1" s="1"/>
  <c r="DD113" i="1"/>
  <c r="DE113" i="1" s="1"/>
  <c r="DG113" i="1" s="1"/>
  <c r="CX113" i="1"/>
  <c r="CY113" i="1" s="1"/>
  <c r="DA113" i="1" s="1"/>
  <c r="CV113" i="1"/>
  <c r="CO113" i="1"/>
  <c r="CP113" i="1" s="1"/>
  <c r="CR113" i="1" s="1"/>
  <c r="CI113" i="1"/>
  <c r="CJ113" i="1" s="1"/>
  <c r="CL113" i="1" s="1"/>
  <c r="CC113" i="1"/>
  <c r="CD113" i="1" s="1"/>
  <c r="CF113" i="1" s="1"/>
  <c r="CA113" i="1"/>
  <c r="AY113" i="1"/>
  <c r="AI115" i="1"/>
  <c r="AI114" i="1"/>
  <c r="AI113" i="1"/>
  <c r="AK103" i="1"/>
  <c r="AX115" i="1"/>
  <c r="AZ115" i="1" s="1"/>
  <c r="AX114" i="1"/>
  <c r="AZ114" i="1" s="1"/>
  <c r="AX113" i="1"/>
  <c r="AZ113" i="1" s="1"/>
  <c r="AZ103" i="1"/>
  <c r="BW103" i="1"/>
  <c r="BW113" i="1" s="1"/>
  <c r="BV103" i="1"/>
  <c r="BV113" i="1" s="1"/>
  <c r="BO103" i="1"/>
  <c r="BO113" i="1" s="1"/>
  <c r="BN103" i="1"/>
  <c r="BN113" i="1" s="1"/>
  <c r="BM103" i="1"/>
  <c r="BM113" i="1" s="1"/>
  <c r="BJ103" i="1"/>
  <c r="BJ113" i="1" s="1"/>
  <c r="AE103" i="1"/>
  <c r="Q103" i="1"/>
  <c r="O103" i="1"/>
  <c r="P103" i="1" s="1"/>
  <c r="BA103" i="1"/>
  <c r="BL113" i="1"/>
  <c r="BG113" i="1" s="1"/>
  <c r="BG103" i="1"/>
  <c r="AA114" i="1"/>
  <c r="W114" i="1"/>
  <c r="EE114" i="1"/>
  <c r="EF114" i="1" s="1"/>
  <c r="EH114" i="1" s="1"/>
  <c r="DY114" i="1"/>
  <c r="DZ114" i="1" s="1"/>
  <c r="EB114" i="1" s="1"/>
  <c r="DS114" i="1"/>
  <c r="DT114" i="1" s="1"/>
  <c r="DV114" i="1" s="1"/>
  <c r="DQ114" i="1"/>
  <c r="DJ114" i="1"/>
  <c r="DK114" i="1" s="1"/>
  <c r="DM114" i="1" s="1"/>
  <c r="DD114" i="1"/>
  <c r="DE114" i="1" s="1"/>
  <c r="DG114" i="1" s="1"/>
  <c r="CX114" i="1"/>
  <c r="CY114" i="1" s="1"/>
  <c r="DA114" i="1" s="1"/>
  <c r="CV114" i="1"/>
  <c r="CO114" i="1"/>
  <c r="CP114" i="1" s="1"/>
  <c r="CR114" i="1" s="1"/>
  <c r="CI114" i="1"/>
  <c r="CJ114" i="1" s="1"/>
  <c r="CL114" i="1" s="1"/>
  <c r="CC114" i="1"/>
  <c r="CD114" i="1" s="1"/>
  <c r="CF114" i="1" s="1"/>
  <c r="CA114" i="1"/>
  <c r="AY114" i="1"/>
  <c r="BD114" i="1"/>
  <c r="AK114" i="1"/>
  <c r="AM114" i="1" s="1"/>
  <c r="BW104" i="1"/>
  <c r="BW114" i="1" s="1"/>
  <c r="BV104" i="1"/>
  <c r="BV114" i="1" s="1"/>
  <c r="BO104" i="1"/>
  <c r="BO114" i="1" s="1"/>
  <c r="BN104" i="1"/>
  <c r="BN114" i="1" s="1"/>
  <c r="BM104" i="1"/>
  <c r="BM114" i="1" s="1"/>
  <c r="BJ104" i="1"/>
  <c r="BJ114" i="1" s="1"/>
  <c r="AE104" i="1"/>
  <c r="Q104" i="1"/>
  <c r="O104" i="1"/>
  <c r="P104" i="1" s="1"/>
  <c r="BA104" i="1"/>
  <c r="BL114" i="1"/>
  <c r="BG114" i="1" s="1"/>
  <c r="BG104" i="1"/>
  <c r="BT114" i="1"/>
  <c r="BU114" i="1"/>
  <c r="AA115" i="1"/>
  <c r="W115" i="1"/>
  <c r="EE115" i="1"/>
  <c r="EF115" i="1" s="1"/>
  <c r="EH115" i="1" s="1"/>
  <c r="DY115" i="1"/>
  <c r="DZ115" i="1" s="1"/>
  <c r="EB115" i="1" s="1"/>
  <c r="DS115" i="1"/>
  <c r="DT115" i="1" s="1"/>
  <c r="DV115" i="1" s="1"/>
  <c r="DQ115" i="1"/>
  <c r="DJ115" i="1"/>
  <c r="DK115" i="1" s="1"/>
  <c r="DM115" i="1" s="1"/>
  <c r="DD115" i="1"/>
  <c r="DE115" i="1" s="1"/>
  <c r="DG115" i="1" s="1"/>
  <c r="CX115" i="1"/>
  <c r="CY115" i="1" s="1"/>
  <c r="DA115" i="1" s="1"/>
  <c r="CV115" i="1"/>
  <c r="CO115" i="1"/>
  <c r="CP115" i="1" s="1"/>
  <c r="CR115" i="1" s="1"/>
  <c r="CI115" i="1"/>
  <c r="CJ115" i="1" s="1"/>
  <c r="CL115" i="1" s="1"/>
  <c r="CC115" i="1"/>
  <c r="CD115" i="1" s="1"/>
  <c r="CF115" i="1" s="1"/>
  <c r="CA115" i="1"/>
  <c r="AY115" i="1"/>
  <c r="BD115" i="1"/>
  <c r="AK115" i="1"/>
  <c r="AM115" i="1" s="1"/>
  <c r="BW105" i="1"/>
  <c r="BW115" i="1" s="1"/>
  <c r="BV105" i="1"/>
  <c r="BV115" i="1" s="1"/>
  <c r="BO105" i="1"/>
  <c r="BO115" i="1" s="1"/>
  <c r="BN105" i="1"/>
  <c r="BN115" i="1" s="1"/>
  <c r="BM105" i="1"/>
  <c r="BM115" i="1" s="1"/>
  <c r="BJ105" i="1"/>
  <c r="BJ115" i="1" s="1"/>
  <c r="AE105" i="1"/>
  <c r="Q105" i="1"/>
  <c r="O105" i="1"/>
  <c r="P105" i="1" s="1"/>
  <c r="BA105" i="1"/>
  <c r="BL115" i="1"/>
  <c r="BG115" i="1" s="1"/>
  <c r="BG105" i="1"/>
  <c r="BT115" i="1"/>
  <c r="BU115" i="1"/>
  <c r="AA116" i="1"/>
  <c r="W116" i="1"/>
  <c r="EE116" i="1"/>
  <c r="EF116" i="1" s="1"/>
  <c r="EH116" i="1" s="1"/>
  <c r="DY116" i="1"/>
  <c r="DZ116" i="1" s="1"/>
  <c r="EB116" i="1" s="1"/>
  <c r="DS116" i="1"/>
  <c r="DT116" i="1" s="1"/>
  <c r="DV116" i="1" s="1"/>
  <c r="DQ116" i="1"/>
  <c r="DJ116" i="1"/>
  <c r="DK116" i="1" s="1"/>
  <c r="DM116" i="1" s="1"/>
  <c r="DD116" i="1"/>
  <c r="DE116" i="1" s="1"/>
  <c r="DG116" i="1" s="1"/>
  <c r="CX116" i="1"/>
  <c r="CY116" i="1" s="1"/>
  <c r="DA116" i="1" s="1"/>
  <c r="CV116" i="1"/>
  <c r="CO116" i="1"/>
  <c r="CP116" i="1" s="1"/>
  <c r="CR116" i="1" s="1"/>
  <c r="CI116" i="1"/>
  <c r="CJ116" i="1" s="1"/>
  <c r="CL116" i="1" s="1"/>
  <c r="CC116" i="1"/>
  <c r="CD116" i="1" s="1"/>
  <c r="CF116" i="1" s="1"/>
  <c r="CA116" i="1"/>
  <c r="AY116" i="1"/>
  <c r="BD116" i="1"/>
  <c r="AI118" i="1"/>
  <c r="AI117" i="1"/>
  <c r="AI116" i="1"/>
  <c r="AK116" i="1" s="1"/>
  <c r="AM116" i="1" s="1"/>
  <c r="AK106" i="1"/>
  <c r="AM106" i="1" s="1"/>
  <c r="AX118" i="1"/>
  <c r="AZ118" i="1" s="1"/>
  <c r="AX117" i="1"/>
  <c r="AZ117" i="1" s="1"/>
  <c r="AX116" i="1"/>
  <c r="AZ116" i="1" s="1"/>
  <c r="AZ106" i="1"/>
  <c r="BW106" i="1"/>
  <c r="BW116" i="1" s="1"/>
  <c r="BV106" i="1"/>
  <c r="BV116" i="1" s="1"/>
  <c r="BO106" i="1"/>
  <c r="BO116" i="1" s="1"/>
  <c r="BN106" i="1"/>
  <c r="BN116" i="1" s="1"/>
  <c r="BM106" i="1"/>
  <c r="BM116" i="1" s="1"/>
  <c r="BJ106" i="1"/>
  <c r="BJ116" i="1" s="1"/>
  <c r="AE106" i="1"/>
  <c r="Q106" i="1"/>
  <c r="O106" i="1"/>
  <c r="P106" i="1" s="1"/>
  <c r="BA106" i="1"/>
  <c r="BL116" i="1"/>
  <c r="BG116" i="1" s="1"/>
  <c r="BG106" i="1"/>
  <c r="AA117" i="1"/>
  <c r="W117" i="1"/>
  <c r="EE117" i="1"/>
  <c r="EF117" i="1" s="1"/>
  <c r="EH117" i="1" s="1"/>
  <c r="DY117" i="1"/>
  <c r="DZ117" i="1" s="1"/>
  <c r="EB117" i="1" s="1"/>
  <c r="DS117" i="1"/>
  <c r="DT117" i="1" s="1"/>
  <c r="DV117" i="1" s="1"/>
  <c r="DQ117" i="1"/>
  <c r="DJ117" i="1"/>
  <c r="DK117" i="1" s="1"/>
  <c r="DM117" i="1" s="1"/>
  <c r="DD117" i="1"/>
  <c r="DE117" i="1" s="1"/>
  <c r="DG117" i="1" s="1"/>
  <c r="CX117" i="1"/>
  <c r="CY117" i="1" s="1"/>
  <c r="DA117" i="1" s="1"/>
  <c r="CV117" i="1"/>
  <c r="CO117" i="1"/>
  <c r="CP117" i="1" s="1"/>
  <c r="CR117" i="1" s="1"/>
  <c r="CI117" i="1"/>
  <c r="CJ117" i="1" s="1"/>
  <c r="CL117" i="1" s="1"/>
  <c r="CC117" i="1"/>
  <c r="CD117" i="1" s="1"/>
  <c r="CF117" i="1" s="1"/>
  <c r="CA117" i="1"/>
  <c r="AY117" i="1"/>
  <c r="BD117" i="1"/>
  <c r="AK117" i="1"/>
  <c r="AM117" i="1" s="1"/>
  <c r="BW107" i="1"/>
  <c r="BW117" i="1" s="1"/>
  <c r="BV107" i="1"/>
  <c r="BV117" i="1" s="1"/>
  <c r="BO107" i="1"/>
  <c r="BO117" i="1" s="1"/>
  <c r="BN107" i="1"/>
  <c r="BN117" i="1" s="1"/>
  <c r="BM107" i="1"/>
  <c r="BM117" i="1" s="1"/>
  <c r="BJ107" i="1"/>
  <c r="BJ117" i="1" s="1"/>
  <c r="AE107" i="1"/>
  <c r="Q107" i="1"/>
  <c r="O107" i="1"/>
  <c r="P107" i="1" s="1"/>
  <c r="BA107" i="1"/>
  <c r="BL117" i="1"/>
  <c r="BG117" i="1" s="1"/>
  <c r="BG107" i="1"/>
  <c r="BT117" i="1"/>
  <c r="BU117" i="1"/>
  <c r="AA118" i="1"/>
  <c r="W118" i="1"/>
  <c r="EE118" i="1"/>
  <c r="EF118" i="1" s="1"/>
  <c r="EH118" i="1" s="1"/>
  <c r="DY118" i="1"/>
  <c r="DZ118" i="1" s="1"/>
  <c r="EB118" i="1" s="1"/>
  <c r="DS118" i="1"/>
  <c r="DT118" i="1" s="1"/>
  <c r="DV118" i="1" s="1"/>
  <c r="DQ118" i="1"/>
  <c r="DJ118" i="1"/>
  <c r="DK118" i="1" s="1"/>
  <c r="DM118" i="1" s="1"/>
  <c r="DD118" i="1"/>
  <c r="DE118" i="1" s="1"/>
  <c r="DG118" i="1" s="1"/>
  <c r="CX118" i="1"/>
  <c r="CY118" i="1" s="1"/>
  <c r="DA118" i="1" s="1"/>
  <c r="CV118" i="1"/>
  <c r="CO118" i="1"/>
  <c r="CP118" i="1" s="1"/>
  <c r="CR118" i="1" s="1"/>
  <c r="CI118" i="1"/>
  <c r="CJ118" i="1" s="1"/>
  <c r="CL118" i="1" s="1"/>
  <c r="CC118" i="1"/>
  <c r="CD118" i="1" s="1"/>
  <c r="CF118" i="1" s="1"/>
  <c r="CA118" i="1"/>
  <c r="AY118" i="1"/>
  <c r="BD118" i="1"/>
  <c r="AK118" i="1"/>
  <c r="AM118" i="1" s="1"/>
  <c r="BW108" i="1"/>
  <c r="BW118" i="1" s="1"/>
  <c r="BV108" i="1"/>
  <c r="BV118" i="1" s="1"/>
  <c r="BO108" i="1"/>
  <c r="BO118" i="1" s="1"/>
  <c r="BN108" i="1"/>
  <c r="BN118" i="1" s="1"/>
  <c r="BM108" i="1"/>
  <c r="BM118" i="1" s="1"/>
  <c r="BJ108" i="1"/>
  <c r="BJ118" i="1" s="1"/>
  <c r="AE108" i="1"/>
  <c r="Q108" i="1"/>
  <c r="O108" i="1"/>
  <c r="P108" i="1" s="1"/>
  <c r="BA108" i="1"/>
  <c r="BL118" i="1"/>
  <c r="BG118" i="1" s="1"/>
  <c r="BG108" i="1"/>
  <c r="BT118" i="1"/>
  <c r="BU118" i="1"/>
  <c r="AA119" i="1"/>
  <c r="W119" i="1"/>
  <c r="EE119" i="1"/>
  <c r="EF119" i="1" s="1"/>
  <c r="EH119" i="1" s="1"/>
  <c r="DY119" i="1"/>
  <c r="DZ119" i="1" s="1"/>
  <c r="EB119" i="1" s="1"/>
  <c r="DS119" i="1"/>
  <c r="DT119" i="1" s="1"/>
  <c r="DV119" i="1" s="1"/>
  <c r="DQ119" i="1"/>
  <c r="DJ119" i="1"/>
  <c r="DK119" i="1" s="1"/>
  <c r="DM119" i="1" s="1"/>
  <c r="DD119" i="1"/>
  <c r="DE119" i="1" s="1"/>
  <c r="DG119" i="1" s="1"/>
  <c r="CX119" i="1"/>
  <c r="CY119" i="1" s="1"/>
  <c r="DA119" i="1" s="1"/>
  <c r="CV119" i="1"/>
  <c r="CO119" i="1"/>
  <c r="CP119" i="1" s="1"/>
  <c r="CR119" i="1" s="1"/>
  <c r="CI119" i="1"/>
  <c r="CJ119" i="1" s="1"/>
  <c r="CL119" i="1" s="1"/>
  <c r="CC119" i="1"/>
  <c r="CD119" i="1" s="1"/>
  <c r="CF119" i="1" s="1"/>
  <c r="CA119" i="1"/>
  <c r="AY119" i="1"/>
  <c r="AI121" i="1"/>
  <c r="AI120" i="1"/>
  <c r="AI119" i="1"/>
  <c r="AK109" i="1"/>
  <c r="AX121" i="1"/>
  <c r="AZ121" i="1" s="1"/>
  <c r="AX120" i="1"/>
  <c r="AZ120" i="1" s="1"/>
  <c r="AX119" i="1"/>
  <c r="AZ119" i="1" s="1"/>
  <c r="AZ109" i="1"/>
  <c r="BW109" i="1"/>
  <c r="BW119" i="1" s="1"/>
  <c r="BV109" i="1"/>
  <c r="BV119" i="1" s="1"/>
  <c r="BO109" i="1"/>
  <c r="BO119" i="1" s="1"/>
  <c r="BN109" i="1"/>
  <c r="BN119" i="1" s="1"/>
  <c r="BM109" i="1"/>
  <c r="BM119" i="1" s="1"/>
  <c r="BJ109" i="1"/>
  <c r="BJ119" i="1" s="1"/>
  <c r="AE109" i="1"/>
  <c r="Q109" i="1"/>
  <c r="O109" i="1"/>
  <c r="P109" i="1" s="1"/>
  <c r="BA109" i="1"/>
  <c r="BL119" i="1"/>
  <c r="BG119" i="1" s="1"/>
  <c r="BG109" i="1"/>
  <c r="AA120" i="1"/>
  <c r="W120" i="1"/>
  <c r="EE120" i="1"/>
  <c r="EF120" i="1" s="1"/>
  <c r="EH120" i="1" s="1"/>
  <c r="DY120" i="1"/>
  <c r="DZ120" i="1" s="1"/>
  <c r="EB120" i="1" s="1"/>
  <c r="DS120" i="1"/>
  <c r="DT120" i="1" s="1"/>
  <c r="DV120" i="1" s="1"/>
  <c r="DQ120" i="1"/>
  <c r="DJ120" i="1"/>
  <c r="DK120" i="1" s="1"/>
  <c r="DM120" i="1" s="1"/>
  <c r="DD120" i="1"/>
  <c r="DE120" i="1" s="1"/>
  <c r="DG120" i="1" s="1"/>
  <c r="CX120" i="1"/>
  <c r="CY120" i="1" s="1"/>
  <c r="DA120" i="1" s="1"/>
  <c r="CV120" i="1"/>
  <c r="CO120" i="1"/>
  <c r="CP120" i="1" s="1"/>
  <c r="CR120" i="1" s="1"/>
  <c r="CI120" i="1"/>
  <c r="CJ120" i="1" s="1"/>
  <c r="CL120" i="1" s="1"/>
  <c r="CC120" i="1"/>
  <c r="CD120" i="1" s="1"/>
  <c r="CF120" i="1" s="1"/>
  <c r="CA120" i="1"/>
  <c r="AY120" i="1"/>
  <c r="BD120" i="1"/>
  <c r="AK120" i="1"/>
  <c r="AM120" i="1" s="1"/>
  <c r="BW110" i="1"/>
  <c r="BW120" i="1" s="1"/>
  <c r="BV110" i="1"/>
  <c r="BV120" i="1" s="1"/>
  <c r="BO110" i="1"/>
  <c r="BO120" i="1" s="1"/>
  <c r="BN110" i="1"/>
  <c r="BN120" i="1" s="1"/>
  <c r="BM110" i="1"/>
  <c r="BM120" i="1" s="1"/>
  <c r="BJ110" i="1"/>
  <c r="BJ120" i="1" s="1"/>
  <c r="AE110" i="1"/>
  <c r="Q110" i="1"/>
  <c r="O110" i="1"/>
  <c r="P110" i="1" s="1"/>
  <c r="BA110" i="1"/>
  <c r="BL120" i="1"/>
  <c r="BG120" i="1" s="1"/>
  <c r="BG110" i="1"/>
  <c r="BT120" i="1"/>
  <c r="BU120" i="1"/>
  <c r="AA121" i="1"/>
  <c r="W121" i="1"/>
  <c r="EE121" i="1"/>
  <c r="EF121" i="1" s="1"/>
  <c r="EH121" i="1" s="1"/>
  <c r="DY121" i="1"/>
  <c r="DZ121" i="1" s="1"/>
  <c r="EB121" i="1" s="1"/>
  <c r="DS121" i="1"/>
  <c r="DT121" i="1" s="1"/>
  <c r="DV121" i="1" s="1"/>
  <c r="DQ121" i="1"/>
  <c r="DJ121" i="1"/>
  <c r="DK121" i="1" s="1"/>
  <c r="DM121" i="1" s="1"/>
  <c r="DD121" i="1"/>
  <c r="DE121" i="1" s="1"/>
  <c r="DG121" i="1" s="1"/>
  <c r="CX121" i="1"/>
  <c r="CY121" i="1" s="1"/>
  <c r="DA121" i="1" s="1"/>
  <c r="CV121" i="1"/>
  <c r="CO121" i="1"/>
  <c r="CP121" i="1" s="1"/>
  <c r="CR121" i="1" s="1"/>
  <c r="CI121" i="1"/>
  <c r="CJ121" i="1" s="1"/>
  <c r="CL121" i="1" s="1"/>
  <c r="CC121" i="1"/>
  <c r="CD121" i="1" s="1"/>
  <c r="CF121" i="1" s="1"/>
  <c r="CA121" i="1"/>
  <c r="AY121" i="1"/>
  <c r="BD121" i="1"/>
  <c r="AK121" i="1"/>
  <c r="AM121" i="1" s="1"/>
  <c r="BW111" i="1"/>
  <c r="BW121" i="1" s="1"/>
  <c r="BV111" i="1"/>
  <c r="BV121" i="1" s="1"/>
  <c r="BO111" i="1"/>
  <c r="BO121" i="1" s="1"/>
  <c r="BN111" i="1"/>
  <c r="BN121" i="1" s="1"/>
  <c r="BM111" i="1"/>
  <c r="BM121" i="1" s="1"/>
  <c r="BJ111" i="1"/>
  <c r="BJ121" i="1" s="1"/>
  <c r="AE111" i="1"/>
  <c r="Q111" i="1"/>
  <c r="O111" i="1"/>
  <c r="P111" i="1" s="1"/>
  <c r="BA111" i="1"/>
  <c r="BL121" i="1"/>
  <c r="BG121" i="1" s="1"/>
  <c r="BG111" i="1"/>
  <c r="BT121" i="1"/>
  <c r="BU121" i="1"/>
  <c r="BH111" i="1" l="1"/>
  <c r="AB111" i="1" s="1"/>
  <c r="AC111" i="1" s="1"/>
  <c r="S111" i="1"/>
  <c r="R111" i="1"/>
  <c r="CA111" i="1"/>
  <c r="AF111" i="1"/>
  <c r="AE121" i="1"/>
  <c r="AF121" i="1" s="1"/>
  <c r="Q121" i="1"/>
  <c r="O121" i="1"/>
  <c r="P121" i="1" s="1"/>
  <c r="BA121" i="1"/>
  <c r="BH110" i="1"/>
  <c r="AB110" i="1" s="1"/>
  <c r="AC110" i="1" s="1"/>
  <c r="S110" i="1"/>
  <c r="R110" i="1"/>
  <c r="CA110" i="1"/>
  <c r="AF110" i="1"/>
  <c r="AE120" i="1"/>
  <c r="AF120" i="1" s="1"/>
  <c r="Q120" i="1"/>
  <c r="O120" i="1"/>
  <c r="P120" i="1" s="1"/>
  <c r="BA120" i="1"/>
  <c r="BH109" i="1"/>
  <c r="AB109" i="1" s="1"/>
  <c r="AC109" i="1" s="1"/>
  <c r="S109" i="1"/>
  <c r="R109" i="1"/>
  <c r="CA109" i="1"/>
  <c r="AF109" i="1"/>
  <c r="AK119" i="1"/>
  <c r="AM119" i="1" s="1"/>
  <c r="AM109" i="1"/>
  <c r="AE119" i="1"/>
  <c r="AF119" i="1" s="1"/>
  <c r="Q119" i="1"/>
  <c r="O119" i="1"/>
  <c r="P119" i="1" s="1"/>
  <c r="BA119" i="1"/>
  <c r="BH108" i="1"/>
  <c r="AB108" i="1" s="1"/>
  <c r="AC108" i="1" s="1"/>
  <c r="S108" i="1"/>
  <c r="R108" i="1"/>
  <c r="CA108" i="1"/>
  <c r="AF108" i="1"/>
  <c r="AE118" i="1"/>
  <c r="AF118" i="1" s="1"/>
  <c r="Q118" i="1"/>
  <c r="O118" i="1"/>
  <c r="P118" i="1" s="1"/>
  <c r="BA118" i="1"/>
  <c r="BH107" i="1"/>
  <c r="AB107" i="1" s="1"/>
  <c r="AC107" i="1" s="1"/>
  <c r="S107" i="1"/>
  <c r="R107" i="1"/>
  <c r="CA107" i="1"/>
  <c r="AF107" i="1"/>
  <c r="AE117" i="1"/>
  <c r="AF117" i="1" s="1"/>
  <c r="Q117" i="1"/>
  <c r="O117" i="1"/>
  <c r="P117" i="1" s="1"/>
  <c r="BA117" i="1"/>
  <c r="BH106" i="1"/>
  <c r="AB106" i="1" s="1"/>
  <c r="AC106" i="1" s="1"/>
  <c r="S106" i="1"/>
  <c r="R106" i="1"/>
  <c r="CA106" i="1"/>
  <c r="AF106" i="1"/>
  <c r="AE116" i="1"/>
  <c r="AF116" i="1" s="1"/>
  <c r="Q116" i="1"/>
  <c r="O116" i="1"/>
  <c r="P116" i="1" s="1"/>
  <c r="BA116" i="1"/>
  <c r="BH105" i="1"/>
  <c r="AB105" i="1" s="1"/>
  <c r="AC105" i="1" s="1"/>
  <c r="S105" i="1"/>
  <c r="R105" i="1"/>
  <c r="CA105" i="1"/>
  <c r="AF105" i="1"/>
  <c r="AE115" i="1"/>
  <c r="AF115" i="1" s="1"/>
  <c r="Q115" i="1"/>
  <c r="O115" i="1"/>
  <c r="P115" i="1" s="1"/>
  <c r="BA115" i="1"/>
  <c r="BH104" i="1"/>
  <c r="AB104" i="1" s="1"/>
  <c r="AC104" i="1" s="1"/>
  <c r="S104" i="1"/>
  <c r="R104" i="1"/>
  <c r="CA104" i="1"/>
  <c r="AF104" i="1"/>
  <c r="AE114" i="1"/>
  <c r="AF114" i="1" s="1"/>
  <c r="Q114" i="1"/>
  <c r="O114" i="1"/>
  <c r="P114" i="1" s="1"/>
  <c r="BA114" i="1"/>
  <c r="BH103" i="1"/>
  <c r="AB103" i="1" s="1"/>
  <c r="AC103" i="1" s="1"/>
  <c r="S103" i="1"/>
  <c r="R103" i="1"/>
  <c r="CA103" i="1"/>
  <c r="AF103" i="1"/>
  <c r="AK113" i="1"/>
  <c r="AM113" i="1" s="1"/>
  <c r="AM103" i="1"/>
  <c r="AE113" i="1"/>
  <c r="AF113" i="1" s="1"/>
  <c r="Q113" i="1"/>
  <c r="O113" i="1"/>
  <c r="P113" i="1" s="1"/>
  <c r="BA113" i="1"/>
  <c r="BH91" i="1"/>
  <c r="AB91" i="1" s="1"/>
  <c r="AC91" i="1" s="1"/>
  <c r="S91" i="1"/>
  <c r="R91" i="1"/>
  <c r="CA91" i="1"/>
  <c r="AF91" i="1"/>
  <c r="AE101" i="1"/>
  <c r="AF101" i="1" s="1"/>
  <c r="Q101" i="1"/>
  <c r="O101" i="1"/>
  <c r="P101" i="1" s="1"/>
  <c r="BA101" i="1"/>
  <c r="BH90" i="1"/>
  <c r="AB90" i="1" s="1"/>
  <c r="AC90" i="1" s="1"/>
  <c r="S90" i="1"/>
  <c r="R90" i="1"/>
  <c r="CA90" i="1"/>
  <c r="AF90" i="1"/>
  <c r="AE100" i="1"/>
  <c r="AF100" i="1" s="1"/>
  <c r="Q100" i="1"/>
  <c r="O100" i="1"/>
  <c r="P100" i="1" s="1"/>
  <c r="BA100" i="1"/>
  <c r="BH89" i="1"/>
  <c r="AB89" i="1" s="1"/>
  <c r="AC89" i="1" s="1"/>
  <c r="S89" i="1"/>
  <c r="R89" i="1"/>
  <c r="CA89" i="1"/>
  <c r="AF89" i="1"/>
  <c r="AE99" i="1"/>
  <c r="AF99" i="1" s="1"/>
  <c r="Q99" i="1"/>
  <c r="O99" i="1"/>
  <c r="P99" i="1" s="1"/>
  <c r="BA99" i="1"/>
  <c r="BH88" i="1"/>
  <c r="AB88" i="1" s="1"/>
  <c r="AC88" i="1" s="1"/>
  <c r="S88" i="1"/>
  <c r="R88" i="1"/>
  <c r="CA88" i="1"/>
  <c r="AF88" i="1"/>
  <c r="AE98" i="1"/>
  <c r="AF98" i="1" s="1"/>
  <c r="Q98" i="1"/>
  <c r="O98" i="1"/>
  <c r="P98" i="1" s="1"/>
  <c r="BA98" i="1"/>
  <c r="BH87" i="1"/>
  <c r="AB87" i="1" s="1"/>
  <c r="AC87" i="1" s="1"/>
  <c r="S87" i="1"/>
  <c r="R87" i="1"/>
  <c r="CA87" i="1"/>
  <c r="AF87" i="1"/>
  <c r="AE97" i="1"/>
  <c r="AF97" i="1" s="1"/>
  <c r="Q97" i="1"/>
  <c r="O97" i="1"/>
  <c r="P97" i="1" s="1"/>
  <c r="BA97" i="1"/>
  <c r="BH86" i="1"/>
  <c r="AB86" i="1" s="1"/>
  <c r="AC86" i="1" s="1"/>
  <c r="S86" i="1"/>
  <c r="R86" i="1"/>
  <c r="CA86" i="1"/>
  <c r="AF86" i="1"/>
  <c r="AE96" i="1"/>
  <c r="AF96" i="1" s="1"/>
  <c r="Q96" i="1"/>
  <c r="O96" i="1"/>
  <c r="P96" i="1" s="1"/>
  <c r="BA96" i="1"/>
  <c r="BH85" i="1"/>
  <c r="AB85" i="1" s="1"/>
  <c r="AC85" i="1" s="1"/>
  <c r="S85" i="1"/>
  <c r="R85" i="1"/>
  <c r="CA85" i="1"/>
  <c r="AF85" i="1"/>
  <c r="AE95" i="1"/>
  <c r="AF95" i="1" s="1"/>
  <c r="Q95" i="1"/>
  <c r="O95" i="1"/>
  <c r="P95" i="1" s="1"/>
  <c r="BA95" i="1"/>
  <c r="BH84" i="1"/>
  <c r="AB84" i="1" s="1"/>
  <c r="AC84" i="1" s="1"/>
  <c r="S84" i="1"/>
  <c r="R84" i="1"/>
  <c r="CA84" i="1"/>
  <c r="AF84" i="1"/>
  <c r="AE94" i="1"/>
  <c r="AF94" i="1" s="1"/>
  <c r="Q94" i="1"/>
  <c r="O94" i="1"/>
  <c r="P94" i="1" s="1"/>
  <c r="BA94" i="1"/>
  <c r="BH83" i="1"/>
  <c r="AB83" i="1" s="1"/>
  <c r="AC83" i="1" s="1"/>
  <c r="S83" i="1"/>
  <c r="R83" i="1"/>
  <c r="CA83" i="1"/>
  <c r="AF83" i="1"/>
  <c r="AE93" i="1"/>
  <c r="AF93" i="1" s="1"/>
  <c r="Q93" i="1"/>
  <c r="O93" i="1"/>
  <c r="P93" i="1" s="1"/>
  <c r="BA93" i="1"/>
  <c r="BH71" i="1"/>
  <c r="AB71" i="1" s="1"/>
  <c r="AC71" i="1" s="1"/>
  <c r="S71" i="1"/>
  <c r="R71" i="1"/>
  <c r="AE81" i="1"/>
  <c r="AF81" i="1" s="1"/>
  <c r="Q81" i="1"/>
  <c r="O81" i="1"/>
  <c r="P81" i="1" s="1"/>
  <c r="BA81" i="1"/>
  <c r="BH70" i="1"/>
  <c r="AB70" i="1" s="1"/>
  <c r="AC70" i="1" s="1"/>
  <c r="S70" i="1"/>
  <c r="R70" i="1"/>
  <c r="AE80" i="1"/>
  <c r="AF80" i="1" s="1"/>
  <c r="Q80" i="1"/>
  <c r="O80" i="1"/>
  <c r="P80" i="1" s="1"/>
  <c r="BA80" i="1"/>
  <c r="BH69" i="1"/>
  <c r="AB69" i="1" s="1"/>
  <c r="AC69" i="1" s="1"/>
  <c r="S69" i="1"/>
  <c r="R69" i="1"/>
  <c r="AK79" i="1"/>
  <c r="AM79" i="1" s="1"/>
  <c r="AM69" i="1"/>
  <c r="AE79" i="1"/>
  <c r="AF79" i="1" s="1"/>
  <c r="Q79" i="1"/>
  <c r="O79" i="1"/>
  <c r="P79" i="1" s="1"/>
  <c r="BA79" i="1"/>
  <c r="BH68" i="1"/>
  <c r="AB68" i="1" s="1"/>
  <c r="AC68" i="1" s="1"/>
  <c r="S68" i="1"/>
  <c r="R68" i="1"/>
  <c r="AE78" i="1"/>
  <c r="AF78" i="1" s="1"/>
  <c r="Q78" i="1"/>
  <c r="O78" i="1"/>
  <c r="P78" i="1" s="1"/>
  <c r="BA78" i="1"/>
  <c r="BH67" i="1"/>
  <c r="AB67" i="1" s="1"/>
  <c r="AC67" i="1" s="1"/>
  <c r="S67" i="1"/>
  <c r="R67" i="1"/>
  <c r="AE77" i="1"/>
  <c r="AF77" i="1" s="1"/>
  <c r="Q77" i="1"/>
  <c r="O77" i="1"/>
  <c r="P77" i="1" s="1"/>
  <c r="BA77" i="1"/>
  <c r="BH66" i="1"/>
  <c r="AB66" i="1" s="1"/>
  <c r="AC66" i="1" s="1"/>
  <c r="S66" i="1"/>
  <c r="R66" i="1"/>
  <c r="AE76" i="1"/>
  <c r="AF76" i="1" s="1"/>
  <c r="Q76" i="1"/>
  <c r="O76" i="1"/>
  <c r="P76" i="1" s="1"/>
  <c r="BA76" i="1"/>
  <c r="BH65" i="1"/>
  <c r="AB65" i="1" s="1"/>
  <c r="AC65" i="1" s="1"/>
  <c r="S65" i="1"/>
  <c r="R65" i="1"/>
  <c r="AE75" i="1"/>
  <c r="AF75" i="1" s="1"/>
  <c r="Q75" i="1"/>
  <c r="O75" i="1"/>
  <c r="P75" i="1" s="1"/>
  <c r="BA75" i="1"/>
  <c r="BH64" i="1"/>
  <c r="AB64" i="1" s="1"/>
  <c r="AC64" i="1" s="1"/>
  <c r="S64" i="1"/>
  <c r="R64" i="1"/>
  <c r="AE74" i="1"/>
  <c r="AF74" i="1" s="1"/>
  <c r="Q74" i="1"/>
  <c r="O74" i="1"/>
  <c r="P74" i="1" s="1"/>
  <c r="BA74" i="1"/>
  <c r="BH63" i="1"/>
  <c r="AB63" i="1" s="1"/>
  <c r="AC63" i="1" s="1"/>
  <c r="S63" i="1"/>
  <c r="R63" i="1"/>
  <c r="AK73" i="1"/>
  <c r="AM73" i="1" s="1"/>
  <c r="AM63" i="1"/>
  <c r="AE73" i="1"/>
  <c r="AF73" i="1" s="1"/>
  <c r="Q73" i="1"/>
  <c r="O73" i="1"/>
  <c r="P73" i="1" s="1"/>
  <c r="BA73" i="1"/>
  <c r="BE61" i="1"/>
  <c r="BP51" i="1" a="1"/>
  <c r="BP51" i="1" s="1"/>
  <c r="CG61" i="1"/>
  <c r="CE61" i="1" s="1"/>
  <c r="CE51" i="1"/>
  <c r="CM61" i="1"/>
  <c r="CK61" i="1" s="1"/>
  <c r="CK51" i="1"/>
  <c r="CS61" i="1"/>
  <c r="CQ61" i="1" s="1"/>
  <c r="CQ51" i="1"/>
  <c r="DB61" i="1"/>
  <c r="CZ61" i="1" s="1"/>
  <c r="CZ51" i="1"/>
  <c r="DH61" i="1"/>
  <c r="DF61" i="1" s="1"/>
  <c r="DF51" i="1"/>
  <c r="DN61" i="1"/>
  <c r="DL61" i="1" s="1"/>
  <c r="DL51" i="1"/>
  <c r="DW61" i="1"/>
  <c r="DU61" i="1" s="1"/>
  <c r="DU51" i="1"/>
  <c r="EC61" i="1"/>
  <c r="EA61" i="1" s="1"/>
  <c r="EA51" i="1"/>
  <c r="EI61" i="1"/>
  <c r="EG61" i="1" s="1"/>
  <c r="EG51" i="1"/>
  <c r="M61" i="1"/>
  <c r="Z51" i="1"/>
  <c r="U51" i="1"/>
  <c r="V51" i="1" s="1"/>
  <c r="N51" i="1"/>
  <c r="AE61" i="1"/>
  <c r="AF61" i="1" s="1"/>
  <c r="BA61" i="1"/>
  <c r="BE60" i="1"/>
  <c r="BP50" i="1" a="1"/>
  <c r="BP50" i="1" s="1"/>
  <c r="CG60" i="1"/>
  <c r="CE60" i="1" s="1"/>
  <c r="CE50" i="1"/>
  <c r="CM60" i="1"/>
  <c r="CK60" i="1" s="1"/>
  <c r="CK50" i="1"/>
  <c r="CS60" i="1"/>
  <c r="CQ60" i="1" s="1"/>
  <c r="CQ50" i="1"/>
  <c r="DB60" i="1"/>
  <c r="CZ60" i="1" s="1"/>
  <c r="CZ50" i="1"/>
  <c r="DH60" i="1"/>
  <c r="DF60" i="1" s="1"/>
  <c r="DF50" i="1"/>
  <c r="DN60" i="1"/>
  <c r="DL60" i="1" s="1"/>
  <c r="DL50" i="1"/>
  <c r="DW60" i="1"/>
  <c r="DU60" i="1" s="1"/>
  <c r="DU50" i="1"/>
  <c r="EC60" i="1"/>
  <c r="EA60" i="1" s="1"/>
  <c r="EA50" i="1"/>
  <c r="EI60" i="1"/>
  <c r="EG60" i="1" s="1"/>
  <c r="EG50" i="1"/>
  <c r="M60" i="1"/>
  <c r="Z50" i="1"/>
  <c r="U50" i="1"/>
  <c r="V50" i="1" s="1"/>
  <c r="N50" i="1"/>
  <c r="AE60" i="1"/>
  <c r="AF60" i="1" s="1"/>
  <c r="BA60" i="1"/>
  <c r="BE59" i="1"/>
  <c r="BP49" i="1" a="1"/>
  <c r="BP49" i="1" s="1"/>
  <c r="BP59" i="1" s="1"/>
  <c r="CG59" i="1"/>
  <c r="CE59" i="1" s="1"/>
  <c r="CE49" i="1"/>
  <c r="CM59" i="1"/>
  <c r="CK59" i="1" s="1"/>
  <c r="CK49" i="1"/>
  <c r="CS59" i="1"/>
  <c r="CQ59" i="1" s="1"/>
  <c r="CQ49" i="1"/>
  <c r="DB59" i="1"/>
  <c r="CZ59" i="1" s="1"/>
  <c r="CZ49" i="1"/>
  <c r="DH59" i="1"/>
  <c r="DF59" i="1" s="1"/>
  <c r="DF49" i="1"/>
  <c r="DN59" i="1"/>
  <c r="DL59" i="1" s="1"/>
  <c r="DL49" i="1"/>
  <c r="DW59" i="1"/>
  <c r="DU59" i="1" s="1"/>
  <c r="DU49" i="1"/>
  <c r="EC59" i="1"/>
  <c r="EA59" i="1" s="1"/>
  <c r="EA49" i="1"/>
  <c r="EI59" i="1"/>
  <c r="EG59" i="1" s="1"/>
  <c r="EG49" i="1"/>
  <c r="M59" i="1"/>
  <c r="Z49" i="1"/>
  <c r="U49" i="1"/>
  <c r="V49" i="1" s="1"/>
  <c r="N49" i="1"/>
  <c r="AE59" i="1"/>
  <c r="AF59" i="1" s="1"/>
  <c r="BA59" i="1"/>
  <c r="AA48" i="1"/>
  <c r="W48" i="1"/>
  <c r="Z58" i="1"/>
  <c r="U58" i="1"/>
  <c r="V58" i="1" s="1"/>
  <c r="N58" i="1"/>
  <c r="AA47" i="1"/>
  <c r="W47" i="1"/>
  <c r="Z57" i="1"/>
  <c r="U57" i="1"/>
  <c r="V57" i="1" s="1"/>
  <c r="N57" i="1"/>
  <c r="AA46" i="1"/>
  <c r="W46" i="1"/>
  <c r="Z56" i="1"/>
  <c r="U56" i="1"/>
  <c r="V56" i="1" s="1"/>
  <c r="N56" i="1"/>
  <c r="BE55" i="1"/>
  <c r="BP45" i="1" a="1"/>
  <c r="BP45" i="1" s="1"/>
  <c r="CG55" i="1"/>
  <c r="CE55" i="1" s="1"/>
  <c r="CE45" i="1"/>
  <c r="CM55" i="1"/>
  <c r="CK55" i="1" s="1"/>
  <c r="CK45" i="1"/>
  <c r="CS55" i="1"/>
  <c r="CQ55" i="1" s="1"/>
  <c r="CQ45" i="1"/>
  <c r="DB55" i="1"/>
  <c r="CZ55" i="1" s="1"/>
  <c r="CZ45" i="1"/>
  <c r="DH55" i="1"/>
  <c r="DF55" i="1" s="1"/>
  <c r="DF45" i="1"/>
  <c r="DN55" i="1"/>
  <c r="DL55" i="1" s="1"/>
  <c r="DL45" i="1"/>
  <c r="DW55" i="1"/>
  <c r="DU55" i="1" s="1"/>
  <c r="DU45" i="1"/>
  <c r="EC55" i="1"/>
  <c r="EA55" i="1" s="1"/>
  <c r="EA45" i="1"/>
  <c r="EI55" i="1"/>
  <c r="EG55" i="1" s="1"/>
  <c r="EG45" i="1"/>
  <c r="M55" i="1"/>
  <c r="Z45" i="1"/>
  <c r="U45" i="1"/>
  <c r="V45" i="1" s="1"/>
  <c r="N45" i="1"/>
  <c r="AE55" i="1"/>
  <c r="AF55" i="1" s="1"/>
  <c r="BA55" i="1"/>
  <c r="BE54" i="1"/>
  <c r="BP44" i="1" a="1"/>
  <c r="BP44" i="1" s="1"/>
  <c r="CG54" i="1"/>
  <c r="CE54" i="1" s="1"/>
  <c r="CE44" i="1"/>
  <c r="CM54" i="1"/>
  <c r="CK54" i="1" s="1"/>
  <c r="CK44" i="1"/>
  <c r="CS54" i="1"/>
  <c r="CQ54" i="1" s="1"/>
  <c r="CQ44" i="1"/>
  <c r="DB54" i="1"/>
  <c r="CZ54" i="1" s="1"/>
  <c r="CZ44" i="1"/>
  <c r="DH54" i="1"/>
  <c r="DF54" i="1" s="1"/>
  <c r="DF44" i="1"/>
  <c r="DN54" i="1"/>
  <c r="DL54" i="1" s="1"/>
  <c r="DL44" i="1"/>
  <c r="DW54" i="1"/>
  <c r="DU54" i="1" s="1"/>
  <c r="DU44" i="1"/>
  <c r="EC54" i="1"/>
  <c r="EA54" i="1" s="1"/>
  <c r="EA44" i="1"/>
  <c r="EI54" i="1"/>
  <c r="EG54" i="1" s="1"/>
  <c r="EG44" i="1"/>
  <c r="M54" i="1"/>
  <c r="Z44" i="1"/>
  <c r="U44" i="1"/>
  <c r="V44" i="1" s="1"/>
  <c r="N44" i="1"/>
  <c r="AE54" i="1"/>
  <c r="AF54" i="1" s="1"/>
  <c r="BA54" i="1"/>
  <c r="BE53" i="1"/>
  <c r="BP43" i="1" a="1"/>
  <c r="BP43" i="1" s="1"/>
  <c r="BP53" i="1" s="1"/>
  <c r="CG53" i="1"/>
  <c r="CE53" i="1" s="1"/>
  <c r="CE43" i="1"/>
  <c r="CM53" i="1"/>
  <c r="CK53" i="1" s="1"/>
  <c r="CK43" i="1"/>
  <c r="CS53" i="1"/>
  <c r="CQ53" i="1" s="1"/>
  <c r="CQ43" i="1"/>
  <c r="DB53" i="1"/>
  <c r="CZ53" i="1" s="1"/>
  <c r="CZ43" i="1"/>
  <c r="DH53" i="1"/>
  <c r="DF53" i="1" s="1"/>
  <c r="DF43" i="1"/>
  <c r="DN53" i="1"/>
  <c r="DL53" i="1" s="1"/>
  <c r="DL43" i="1"/>
  <c r="DW53" i="1"/>
  <c r="DU53" i="1" s="1"/>
  <c r="DU43" i="1"/>
  <c r="EC53" i="1"/>
  <c r="EA53" i="1" s="1"/>
  <c r="EA43" i="1"/>
  <c r="EI53" i="1"/>
  <c r="EG53" i="1" s="1"/>
  <c r="EG43" i="1"/>
  <c r="M53" i="1"/>
  <c r="Z43" i="1"/>
  <c r="U43" i="1"/>
  <c r="V43" i="1" s="1"/>
  <c r="N43" i="1"/>
  <c r="AE53" i="1"/>
  <c r="AF53" i="1" s="1"/>
  <c r="BA53" i="1"/>
  <c r="BE41" i="1"/>
  <c r="BP31" i="1" a="1"/>
  <c r="BP31" i="1" s="1"/>
  <c r="CG41" i="1"/>
  <c r="CE41" i="1" s="1"/>
  <c r="CE31" i="1"/>
  <c r="CM41" i="1"/>
  <c r="CK41" i="1" s="1"/>
  <c r="CK31" i="1"/>
  <c r="CS41" i="1"/>
  <c r="CQ41" i="1" s="1"/>
  <c r="CQ31" i="1"/>
  <c r="DB41" i="1"/>
  <c r="CZ41" i="1" s="1"/>
  <c r="CZ31" i="1"/>
  <c r="DH41" i="1"/>
  <c r="DF41" i="1" s="1"/>
  <c r="DF31" i="1"/>
  <c r="DN41" i="1"/>
  <c r="DL41" i="1" s="1"/>
  <c r="DL31" i="1"/>
  <c r="DW41" i="1"/>
  <c r="DU41" i="1" s="1"/>
  <c r="DU31" i="1"/>
  <c r="EC41" i="1"/>
  <c r="EA41" i="1" s="1"/>
  <c r="EA31" i="1"/>
  <c r="EI41" i="1"/>
  <c r="EG41" i="1" s="1"/>
  <c r="EG31" i="1"/>
  <c r="BE40" i="1"/>
  <c r="BP30" i="1" a="1"/>
  <c r="BP30" i="1" s="1"/>
  <c r="CG40" i="1"/>
  <c r="CE40" i="1" s="1"/>
  <c r="CE30" i="1"/>
  <c r="CM40" i="1"/>
  <c r="CK40" i="1" s="1"/>
  <c r="CK30" i="1"/>
  <c r="CS40" i="1"/>
  <c r="CQ40" i="1" s="1"/>
  <c r="CQ30" i="1"/>
  <c r="DB40" i="1"/>
  <c r="CZ40" i="1" s="1"/>
  <c r="CZ30" i="1"/>
  <c r="DH40" i="1"/>
  <c r="DF40" i="1" s="1"/>
  <c r="DF30" i="1"/>
  <c r="DN40" i="1"/>
  <c r="DL40" i="1" s="1"/>
  <c r="DL30" i="1"/>
  <c r="DW40" i="1"/>
  <c r="DU40" i="1" s="1"/>
  <c r="DU30" i="1"/>
  <c r="EC40" i="1"/>
  <c r="EA40" i="1" s="1"/>
  <c r="EA30" i="1"/>
  <c r="EI40" i="1"/>
  <c r="EG40" i="1" s="1"/>
  <c r="EG30" i="1"/>
  <c r="BE39" i="1"/>
  <c r="BP29" i="1" a="1"/>
  <c r="BP29" i="1" s="1"/>
  <c r="BP39" i="1" s="1"/>
  <c r="CG39" i="1"/>
  <c r="CE39" i="1" s="1"/>
  <c r="CE29" i="1"/>
  <c r="CM39" i="1"/>
  <c r="CK39" i="1" s="1"/>
  <c r="CK29" i="1"/>
  <c r="CS39" i="1"/>
  <c r="CQ39" i="1" s="1"/>
  <c r="CQ29" i="1"/>
  <c r="DB39" i="1"/>
  <c r="CZ39" i="1" s="1"/>
  <c r="CZ29" i="1"/>
  <c r="DH39" i="1"/>
  <c r="DF39" i="1" s="1"/>
  <c r="DF29" i="1"/>
  <c r="DN39" i="1"/>
  <c r="DL39" i="1" s="1"/>
  <c r="DL29" i="1"/>
  <c r="DW39" i="1"/>
  <c r="DU39" i="1" s="1"/>
  <c r="DU29" i="1"/>
  <c r="EC39" i="1"/>
  <c r="EA39" i="1" s="1"/>
  <c r="EA29" i="1"/>
  <c r="EI39" i="1"/>
  <c r="EG39" i="1" s="1"/>
  <c r="EG29" i="1"/>
  <c r="BE38" i="1"/>
  <c r="BP28" i="1" a="1"/>
  <c r="BP28" i="1" s="1"/>
  <c r="CG38" i="1"/>
  <c r="CE38" i="1" s="1"/>
  <c r="CE28" i="1"/>
  <c r="CM38" i="1"/>
  <c r="CK38" i="1" s="1"/>
  <c r="CK28" i="1"/>
  <c r="CS38" i="1"/>
  <c r="CQ38" i="1" s="1"/>
  <c r="CQ28" i="1"/>
  <c r="DB38" i="1"/>
  <c r="CZ38" i="1" s="1"/>
  <c r="CZ28" i="1"/>
  <c r="DH38" i="1"/>
  <c r="DF38" i="1" s="1"/>
  <c r="DF28" i="1"/>
  <c r="DN38" i="1"/>
  <c r="DL38" i="1" s="1"/>
  <c r="DL28" i="1"/>
  <c r="DW38" i="1"/>
  <c r="DU38" i="1" s="1"/>
  <c r="DU28" i="1"/>
  <c r="EC38" i="1"/>
  <c r="EA38" i="1" s="1"/>
  <c r="EA28" i="1"/>
  <c r="EI38" i="1"/>
  <c r="EG38" i="1" s="1"/>
  <c r="EG28" i="1"/>
  <c r="BE37" i="1"/>
  <c r="BP27" i="1" a="1"/>
  <c r="BP27" i="1" s="1"/>
  <c r="CG37" i="1"/>
  <c r="CE37" i="1" s="1"/>
  <c r="CE27" i="1"/>
  <c r="CM37" i="1"/>
  <c r="CK37" i="1" s="1"/>
  <c r="CK27" i="1"/>
  <c r="CS37" i="1"/>
  <c r="CQ37" i="1" s="1"/>
  <c r="CQ27" i="1"/>
  <c r="DB37" i="1"/>
  <c r="CZ37" i="1" s="1"/>
  <c r="CZ27" i="1"/>
  <c r="DH37" i="1"/>
  <c r="DF37" i="1" s="1"/>
  <c r="DF27" i="1"/>
  <c r="DN37" i="1"/>
  <c r="DL37" i="1" s="1"/>
  <c r="DL27" i="1"/>
  <c r="DW37" i="1"/>
  <c r="DU37" i="1" s="1"/>
  <c r="DU27" i="1"/>
  <c r="EC37" i="1"/>
  <c r="EA37" i="1" s="1"/>
  <c r="EA27" i="1"/>
  <c r="EI37" i="1"/>
  <c r="EG37" i="1" s="1"/>
  <c r="EG27" i="1"/>
  <c r="BE36" i="1"/>
  <c r="BP26" i="1" a="1"/>
  <c r="BP26" i="1" s="1"/>
  <c r="BP36" i="1" s="1"/>
  <c r="CG36" i="1"/>
  <c r="CE36" i="1" s="1"/>
  <c r="CE26" i="1"/>
  <c r="CM36" i="1"/>
  <c r="CK36" i="1" s="1"/>
  <c r="CK26" i="1"/>
  <c r="CS36" i="1"/>
  <c r="CQ36" i="1" s="1"/>
  <c r="CQ26" i="1"/>
  <c r="DB36" i="1"/>
  <c r="CZ36" i="1" s="1"/>
  <c r="CZ26" i="1"/>
  <c r="DH36" i="1"/>
  <c r="DF36" i="1" s="1"/>
  <c r="DF26" i="1"/>
  <c r="DN36" i="1"/>
  <c r="DL36" i="1" s="1"/>
  <c r="DL26" i="1"/>
  <c r="DW36" i="1"/>
  <c r="DU36" i="1" s="1"/>
  <c r="DU26" i="1"/>
  <c r="EC36" i="1"/>
  <c r="EA36" i="1" s="1"/>
  <c r="EA26" i="1"/>
  <c r="EI36" i="1"/>
  <c r="EG36" i="1" s="1"/>
  <c r="EG26" i="1"/>
  <c r="BE21" i="1"/>
  <c r="BP11" i="1" a="1"/>
  <c r="BP11" i="1" s="1"/>
  <c r="CG21" i="1"/>
  <c r="CE21" i="1" s="1"/>
  <c r="CE11" i="1"/>
  <c r="CM21" i="1"/>
  <c r="CK21" i="1" s="1"/>
  <c r="CK11" i="1"/>
  <c r="CS21" i="1"/>
  <c r="CQ21" i="1" s="1"/>
  <c r="CQ11" i="1"/>
  <c r="DB21" i="1"/>
  <c r="CZ21" i="1" s="1"/>
  <c r="CZ11" i="1"/>
  <c r="DH21" i="1"/>
  <c r="DF21" i="1" s="1"/>
  <c r="DF11" i="1"/>
  <c r="DN21" i="1"/>
  <c r="DL21" i="1" s="1"/>
  <c r="DL11" i="1"/>
  <c r="DW21" i="1"/>
  <c r="DU21" i="1" s="1"/>
  <c r="DU11" i="1"/>
  <c r="EC21" i="1"/>
  <c r="EA21" i="1" s="1"/>
  <c r="EA11" i="1"/>
  <c r="EI21" i="1"/>
  <c r="EG21" i="1" s="1"/>
  <c r="EG11" i="1"/>
  <c r="BE20" i="1"/>
  <c r="BP10" i="1" a="1"/>
  <c r="BP10" i="1" s="1"/>
  <c r="CG20" i="1"/>
  <c r="CE20" i="1" s="1"/>
  <c r="CE10" i="1"/>
  <c r="CM20" i="1"/>
  <c r="CK20" i="1" s="1"/>
  <c r="CK10" i="1"/>
  <c r="CS20" i="1"/>
  <c r="CQ20" i="1" s="1"/>
  <c r="CQ10" i="1"/>
  <c r="DB20" i="1"/>
  <c r="CZ20" i="1" s="1"/>
  <c r="CZ10" i="1"/>
  <c r="DH20" i="1"/>
  <c r="DF20" i="1" s="1"/>
  <c r="DF10" i="1"/>
  <c r="DN20" i="1"/>
  <c r="DL20" i="1" s="1"/>
  <c r="DL10" i="1"/>
  <c r="DW20" i="1"/>
  <c r="DU20" i="1" s="1"/>
  <c r="DU10" i="1"/>
  <c r="EC20" i="1"/>
  <c r="EA20" i="1" s="1"/>
  <c r="EA10" i="1"/>
  <c r="EI20" i="1"/>
  <c r="EG20" i="1" s="1"/>
  <c r="EG10" i="1"/>
  <c r="BE19" i="1"/>
  <c r="BP9" i="1" a="1"/>
  <c r="BP9" i="1" s="1"/>
  <c r="BP19" i="1" s="1"/>
  <c r="CG19" i="1"/>
  <c r="CE19" i="1" s="1"/>
  <c r="CE9" i="1"/>
  <c r="CM19" i="1"/>
  <c r="CK19" i="1" s="1"/>
  <c r="CK9" i="1"/>
  <c r="CS19" i="1"/>
  <c r="CQ19" i="1" s="1"/>
  <c r="CQ9" i="1"/>
  <c r="DB19" i="1"/>
  <c r="CZ19" i="1" s="1"/>
  <c r="CZ9" i="1"/>
  <c r="DH19" i="1"/>
  <c r="DF19" i="1" s="1"/>
  <c r="DF9" i="1"/>
  <c r="DN19" i="1"/>
  <c r="DL19" i="1" s="1"/>
  <c r="DL9" i="1"/>
  <c r="DW19" i="1"/>
  <c r="DU19" i="1" s="1"/>
  <c r="DU9" i="1"/>
  <c r="EC19" i="1"/>
  <c r="EA19" i="1" s="1"/>
  <c r="EA9" i="1"/>
  <c r="EI19" i="1"/>
  <c r="EG19" i="1" s="1"/>
  <c r="EG9" i="1"/>
  <c r="BP20" i="1" l="1"/>
  <c r="BP21" i="1"/>
  <c r="BP37" i="1"/>
  <c r="BP38" i="1"/>
  <c r="BP40" i="1"/>
  <c r="BP41" i="1"/>
  <c r="AA43" i="1"/>
  <c r="W43" i="1"/>
  <c r="Z53" i="1"/>
  <c r="U53" i="1"/>
  <c r="V53" i="1" s="1"/>
  <c r="N53" i="1"/>
  <c r="AA44" i="1"/>
  <c r="W44" i="1"/>
  <c r="Z54" i="1"/>
  <c r="U54" i="1"/>
  <c r="V54" i="1" s="1"/>
  <c r="N54" i="1"/>
  <c r="BP54" i="1"/>
  <c r="AA45" i="1"/>
  <c r="W45" i="1"/>
  <c r="Z55" i="1"/>
  <c r="U55" i="1"/>
  <c r="V55" i="1" s="1"/>
  <c r="N55" i="1"/>
  <c r="BP55" i="1"/>
  <c r="AA56" i="1"/>
  <c r="W56" i="1"/>
  <c r="AA57" i="1"/>
  <c r="W57" i="1"/>
  <c r="AA58" i="1"/>
  <c r="W58" i="1"/>
  <c r="AA49" i="1"/>
  <c r="W49" i="1"/>
  <c r="Z59" i="1"/>
  <c r="U59" i="1"/>
  <c r="V59" i="1" s="1"/>
  <c r="N59" i="1"/>
  <c r="AA50" i="1"/>
  <c r="W50" i="1"/>
  <c r="Z60" i="1"/>
  <c r="U60" i="1"/>
  <c r="V60" i="1" s="1"/>
  <c r="N60" i="1"/>
  <c r="BP60" i="1"/>
  <c r="AA51" i="1"/>
  <c r="W51" i="1"/>
  <c r="Z61" i="1"/>
  <c r="U61" i="1"/>
  <c r="V61" i="1" s="1"/>
  <c r="N61" i="1"/>
  <c r="BP61" i="1"/>
  <c r="BH73" i="1"/>
  <c r="AB73" i="1" s="1"/>
  <c r="S73" i="1"/>
  <c r="R73" i="1"/>
  <c r="AC73" i="1"/>
  <c r="EI63" i="1"/>
  <c r="EC63" i="1"/>
  <c r="DW63" i="1"/>
  <c r="DN63" i="1"/>
  <c r="DH63" i="1"/>
  <c r="DB63" i="1"/>
  <c r="CS63" i="1"/>
  <c r="CM63" i="1"/>
  <c r="CG63" i="1"/>
  <c r="BE63" i="1"/>
  <c r="BH74" i="1"/>
  <c r="AB74" i="1" s="1"/>
  <c r="S74" i="1"/>
  <c r="R74" i="1"/>
  <c r="AC74" i="1"/>
  <c r="EI64" i="1"/>
  <c r="EC64" i="1"/>
  <c r="DW64" i="1"/>
  <c r="DN64" i="1"/>
  <c r="DH64" i="1"/>
  <c r="DB64" i="1"/>
  <c r="CS64" i="1"/>
  <c r="CM64" i="1"/>
  <c r="CG64" i="1"/>
  <c r="BE64" i="1"/>
  <c r="BH75" i="1"/>
  <c r="AB75" i="1" s="1"/>
  <c r="S75" i="1"/>
  <c r="R75" i="1"/>
  <c r="AC75" i="1"/>
  <c r="EI65" i="1"/>
  <c r="EC65" i="1"/>
  <c r="DW65" i="1"/>
  <c r="DN65" i="1"/>
  <c r="DH65" i="1"/>
  <c r="DB65" i="1"/>
  <c r="CS65" i="1"/>
  <c r="CM65" i="1"/>
  <c r="CG65" i="1"/>
  <c r="BE65" i="1"/>
  <c r="BH76" i="1"/>
  <c r="AB76" i="1" s="1"/>
  <c r="S76" i="1"/>
  <c r="R76" i="1"/>
  <c r="AC76" i="1"/>
  <c r="EI66" i="1"/>
  <c r="EC66" i="1"/>
  <c r="DW66" i="1"/>
  <c r="DN66" i="1"/>
  <c r="DH66" i="1"/>
  <c r="DB66" i="1"/>
  <c r="CS66" i="1"/>
  <c r="CM66" i="1"/>
  <c r="CG66" i="1"/>
  <c r="BE66" i="1"/>
  <c r="BH77" i="1"/>
  <c r="AB77" i="1" s="1"/>
  <c r="S77" i="1"/>
  <c r="R77" i="1"/>
  <c r="AC77" i="1"/>
  <c r="EI67" i="1"/>
  <c r="EC67" i="1"/>
  <c r="DW67" i="1"/>
  <c r="DN67" i="1"/>
  <c r="DH67" i="1"/>
  <c r="DB67" i="1"/>
  <c r="CS67" i="1"/>
  <c r="CM67" i="1"/>
  <c r="CG67" i="1"/>
  <c r="BE67" i="1"/>
  <c r="BH78" i="1"/>
  <c r="AB78" i="1" s="1"/>
  <c r="S78" i="1"/>
  <c r="R78" i="1"/>
  <c r="AC78" i="1"/>
  <c r="EI68" i="1"/>
  <c r="EC68" i="1"/>
  <c r="DW68" i="1"/>
  <c r="DN68" i="1"/>
  <c r="DH68" i="1"/>
  <c r="DB68" i="1"/>
  <c r="CS68" i="1"/>
  <c r="CM68" i="1"/>
  <c r="CG68" i="1"/>
  <c r="BE68" i="1"/>
  <c r="BH79" i="1"/>
  <c r="AB79" i="1" s="1"/>
  <c r="S79" i="1"/>
  <c r="R79" i="1"/>
  <c r="AC79" i="1"/>
  <c r="EI69" i="1"/>
  <c r="EC69" i="1"/>
  <c r="DW69" i="1"/>
  <c r="DN69" i="1"/>
  <c r="DH69" i="1"/>
  <c r="DB69" i="1"/>
  <c r="CS69" i="1"/>
  <c r="CM69" i="1"/>
  <c r="CG69" i="1"/>
  <c r="BE69" i="1"/>
  <c r="BH80" i="1"/>
  <c r="AB80" i="1" s="1"/>
  <c r="S80" i="1"/>
  <c r="R80" i="1"/>
  <c r="AC80" i="1"/>
  <c r="EI70" i="1"/>
  <c r="EC70" i="1"/>
  <c r="DW70" i="1"/>
  <c r="DN70" i="1"/>
  <c r="DH70" i="1"/>
  <c r="DB70" i="1"/>
  <c r="CS70" i="1"/>
  <c r="CM70" i="1"/>
  <c r="CG70" i="1"/>
  <c r="BE70" i="1"/>
  <c r="BH81" i="1"/>
  <c r="AB81" i="1" s="1"/>
  <c r="S81" i="1"/>
  <c r="R81" i="1"/>
  <c r="AC81" i="1"/>
  <c r="EI71" i="1"/>
  <c r="EC71" i="1"/>
  <c r="DW71" i="1"/>
  <c r="DN71" i="1"/>
  <c r="DH71" i="1"/>
  <c r="DB71" i="1"/>
  <c r="CS71" i="1"/>
  <c r="CM71" i="1"/>
  <c r="CG71" i="1"/>
  <c r="BE71" i="1"/>
  <c r="BH93" i="1"/>
  <c r="AB93" i="1" s="1"/>
  <c r="S93" i="1"/>
  <c r="R93" i="1"/>
  <c r="AC93" i="1"/>
  <c r="EI83" i="1"/>
  <c r="EC83" i="1"/>
  <c r="DW83" i="1"/>
  <c r="DN83" i="1"/>
  <c r="DH83" i="1"/>
  <c r="DB83" i="1"/>
  <c r="CS83" i="1"/>
  <c r="CM83" i="1"/>
  <c r="CG83" i="1"/>
  <c r="BE83" i="1"/>
  <c r="BH94" i="1"/>
  <c r="AB94" i="1" s="1"/>
  <c r="S94" i="1"/>
  <c r="R94" i="1"/>
  <c r="AC94" i="1"/>
  <c r="EI84" i="1"/>
  <c r="EC84" i="1"/>
  <c r="DW84" i="1"/>
  <c r="DN84" i="1"/>
  <c r="DH84" i="1"/>
  <c r="DB84" i="1"/>
  <c r="CS84" i="1"/>
  <c r="CM84" i="1"/>
  <c r="CG84" i="1"/>
  <c r="BE84" i="1"/>
  <c r="BH95" i="1"/>
  <c r="AB95" i="1" s="1"/>
  <c r="S95" i="1"/>
  <c r="R95" i="1"/>
  <c r="AC95" i="1"/>
  <c r="EI85" i="1"/>
  <c r="EC85" i="1"/>
  <c r="DW85" i="1"/>
  <c r="DN85" i="1"/>
  <c r="DH85" i="1"/>
  <c r="DB85" i="1"/>
  <c r="CS85" i="1"/>
  <c r="CM85" i="1"/>
  <c r="CG85" i="1"/>
  <c r="BE85" i="1"/>
  <c r="BH96" i="1"/>
  <c r="AB96" i="1" s="1"/>
  <c r="S96" i="1"/>
  <c r="R96" i="1"/>
  <c r="AC96" i="1"/>
  <c r="EI86" i="1"/>
  <c r="EC86" i="1"/>
  <c r="DW86" i="1"/>
  <c r="DN86" i="1"/>
  <c r="DH86" i="1"/>
  <c r="DB86" i="1"/>
  <c r="CS86" i="1"/>
  <c r="CM86" i="1"/>
  <c r="CG86" i="1"/>
  <c r="BE86" i="1"/>
  <c r="BH97" i="1"/>
  <c r="AB97" i="1" s="1"/>
  <c r="S97" i="1"/>
  <c r="R97" i="1"/>
  <c r="AC97" i="1"/>
  <c r="EI87" i="1"/>
  <c r="EC87" i="1"/>
  <c r="DW87" i="1"/>
  <c r="DN87" i="1"/>
  <c r="DH87" i="1"/>
  <c r="DB87" i="1"/>
  <c r="CS87" i="1"/>
  <c r="CM87" i="1"/>
  <c r="CG87" i="1"/>
  <c r="BE87" i="1"/>
  <c r="BH98" i="1"/>
  <c r="AB98" i="1" s="1"/>
  <c r="S98" i="1"/>
  <c r="R98" i="1"/>
  <c r="AC98" i="1"/>
  <c r="EI88" i="1"/>
  <c r="EC88" i="1"/>
  <c r="DW88" i="1"/>
  <c r="DN88" i="1"/>
  <c r="DH88" i="1"/>
  <c r="DB88" i="1"/>
  <c r="CS88" i="1"/>
  <c r="CM88" i="1"/>
  <c r="CG88" i="1"/>
  <c r="BE88" i="1"/>
  <c r="BH99" i="1"/>
  <c r="AB99" i="1" s="1"/>
  <c r="S99" i="1"/>
  <c r="R99" i="1"/>
  <c r="AC99" i="1"/>
  <c r="EI89" i="1"/>
  <c r="EC89" i="1"/>
  <c r="DW89" i="1"/>
  <c r="DN89" i="1"/>
  <c r="DH89" i="1"/>
  <c r="DB89" i="1"/>
  <c r="CS89" i="1"/>
  <c r="CM89" i="1"/>
  <c r="CG89" i="1"/>
  <c r="BE89" i="1"/>
  <c r="BH100" i="1"/>
  <c r="AB100" i="1" s="1"/>
  <c r="S100" i="1"/>
  <c r="R100" i="1"/>
  <c r="AC100" i="1"/>
  <c r="EI90" i="1"/>
  <c r="EC90" i="1"/>
  <c r="DW90" i="1"/>
  <c r="DN90" i="1"/>
  <c r="DH90" i="1"/>
  <c r="DB90" i="1"/>
  <c r="CS90" i="1"/>
  <c r="CM90" i="1"/>
  <c r="CG90" i="1"/>
  <c r="BE90" i="1"/>
  <c r="BH101" i="1"/>
  <c r="AB101" i="1" s="1"/>
  <c r="S101" i="1"/>
  <c r="R101" i="1"/>
  <c r="AC101" i="1"/>
  <c r="EI91" i="1"/>
  <c r="EC91" i="1"/>
  <c r="DW91" i="1"/>
  <c r="DN91" i="1"/>
  <c r="DH91" i="1"/>
  <c r="DB91" i="1"/>
  <c r="CS91" i="1"/>
  <c r="CM91" i="1"/>
  <c r="CG91" i="1"/>
  <c r="BE91" i="1"/>
  <c r="BH113" i="1"/>
  <c r="AB113" i="1" s="1"/>
  <c r="S113" i="1"/>
  <c r="R113" i="1"/>
  <c r="AC113" i="1"/>
  <c r="EI103" i="1"/>
  <c r="EC103" i="1"/>
  <c r="DW103" i="1"/>
  <c r="DN103" i="1"/>
  <c r="DH103" i="1"/>
  <c r="DB103" i="1"/>
  <c r="CS103" i="1"/>
  <c r="CM103" i="1"/>
  <c r="CG103" i="1"/>
  <c r="BE103" i="1"/>
  <c r="BH114" i="1"/>
  <c r="AB114" i="1" s="1"/>
  <c r="S114" i="1"/>
  <c r="R114" i="1"/>
  <c r="AC114" i="1"/>
  <c r="EI104" i="1"/>
  <c r="EC104" i="1"/>
  <c r="DW104" i="1"/>
  <c r="DN104" i="1"/>
  <c r="DH104" i="1"/>
  <c r="DB104" i="1"/>
  <c r="CS104" i="1"/>
  <c r="CM104" i="1"/>
  <c r="CG104" i="1"/>
  <c r="BE104" i="1"/>
  <c r="BH115" i="1"/>
  <c r="AB115" i="1" s="1"/>
  <c r="S115" i="1"/>
  <c r="R115" i="1"/>
  <c r="AC115" i="1"/>
  <c r="EI105" i="1"/>
  <c r="EC105" i="1"/>
  <c r="DW105" i="1"/>
  <c r="DN105" i="1"/>
  <c r="DH105" i="1"/>
  <c r="DB105" i="1"/>
  <c r="CS105" i="1"/>
  <c r="CM105" i="1"/>
  <c r="CG105" i="1"/>
  <c r="BE105" i="1"/>
  <c r="BH116" i="1"/>
  <c r="AB116" i="1" s="1"/>
  <c r="S116" i="1"/>
  <c r="R116" i="1"/>
  <c r="AC116" i="1"/>
  <c r="EI106" i="1"/>
  <c r="EC106" i="1"/>
  <c r="DW106" i="1"/>
  <c r="DN106" i="1"/>
  <c r="DH106" i="1"/>
  <c r="DB106" i="1"/>
  <c r="CS106" i="1"/>
  <c r="CM106" i="1"/>
  <c r="CG106" i="1"/>
  <c r="BE106" i="1"/>
  <c r="BH117" i="1"/>
  <c r="AB117" i="1" s="1"/>
  <c r="S117" i="1"/>
  <c r="R117" i="1"/>
  <c r="AC117" i="1"/>
  <c r="EI107" i="1"/>
  <c r="EC107" i="1"/>
  <c r="DW107" i="1"/>
  <c r="DN107" i="1"/>
  <c r="DH107" i="1"/>
  <c r="DB107" i="1"/>
  <c r="CS107" i="1"/>
  <c r="CM107" i="1"/>
  <c r="CG107" i="1"/>
  <c r="BE107" i="1"/>
  <c r="BH118" i="1"/>
  <c r="AB118" i="1" s="1"/>
  <c r="S118" i="1"/>
  <c r="R118" i="1"/>
  <c r="AC118" i="1"/>
  <c r="EI108" i="1"/>
  <c r="EC108" i="1"/>
  <c r="DW108" i="1"/>
  <c r="DN108" i="1"/>
  <c r="DH108" i="1"/>
  <c r="DB108" i="1"/>
  <c r="CS108" i="1"/>
  <c r="CM108" i="1"/>
  <c r="CG108" i="1"/>
  <c r="BE108" i="1"/>
  <c r="BH119" i="1"/>
  <c r="AB119" i="1" s="1"/>
  <c r="S119" i="1"/>
  <c r="R119" i="1"/>
  <c r="AC119" i="1"/>
  <c r="EI109" i="1"/>
  <c r="EC109" i="1"/>
  <c r="DW109" i="1"/>
  <c r="DN109" i="1"/>
  <c r="DH109" i="1"/>
  <c r="DB109" i="1"/>
  <c r="CS109" i="1"/>
  <c r="CM109" i="1"/>
  <c r="CG109" i="1"/>
  <c r="BE109" i="1"/>
  <c r="BH120" i="1"/>
  <c r="AB120" i="1" s="1"/>
  <c r="S120" i="1"/>
  <c r="R120" i="1"/>
  <c r="AC120" i="1"/>
  <c r="EI110" i="1"/>
  <c r="EC110" i="1"/>
  <c r="DW110" i="1"/>
  <c r="DN110" i="1"/>
  <c r="DH110" i="1"/>
  <c r="DB110" i="1"/>
  <c r="CS110" i="1"/>
  <c r="CM110" i="1"/>
  <c r="CG110" i="1"/>
  <c r="BE110" i="1"/>
  <c r="BH121" i="1"/>
  <c r="AB121" i="1" s="1"/>
  <c r="S121" i="1"/>
  <c r="R121" i="1"/>
  <c r="AC121" i="1"/>
  <c r="EI111" i="1"/>
  <c r="EC111" i="1"/>
  <c r="DW111" i="1"/>
  <c r="DN111" i="1"/>
  <c r="DH111" i="1"/>
  <c r="DB111" i="1"/>
  <c r="CS111" i="1"/>
  <c r="CM111" i="1"/>
  <c r="CG111" i="1"/>
  <c r="BE111" i="1"/>
  <c r="BE121" i="1" l="1"/>
  <c r="BP111" i="1" a="1"/>
  <c r="BP111" i="1" s="1"/>
  <c r="CG121" i="1"/>
  <c r="CE121" i="1" s="1"/>
  <c r="CE111" i="1"/>
  <c r="CM121" i="1"/>
  <c r="CK121" i="1" s="1"/>
  <c r="CK111" i="1"/>
  <c r="CS121" i="1"/>
  <c r="CQ121" i="1" s="1"/>
  <c r="CQ111" i="1"/>
  <c r="DB121" i="1"/>
  <c r="CZ121" i="1" s="1"/>
  <c r="CZ111" i="1"/>
  <c r="DH121" i="1"/>
  <c r="DF121" i="1" s="1"/>
  <c r="DF111" i="1"/>
  <c r="DN121" i="1"/>
  <c r="DL121" i="1" s="1"/>
  <c r="DL111" i="1"/>
  <c r="DW121" i="1"/>
  <c r="DU121" i="1" s="1"/>
  <c r="DU111" i="1"/>
  <c r="EC121" i="1"/>
  <c r="EA121" i="1" s="1"/>
  <c r="EA111" i="1"/>
  <c r="EI121" i="1"/>
  <c r="EG121" i="1" s="1"/>
  <c r="EG111" i="1"/>
  <c r="BE120" i="1"/>
  <c r="BP110" i="1" a="1"/>
  <c r="BP110" i="1" s="1"/>
  <c r="CG120" i="1"/>
  <c r="CE120" i="1" s="1"/>
  <c r="CE110" i="1"/>
  <c r="CM120" i="1"/>
  <c r="CK120" i="1" s="1"/>
  <c r="CK110" i="1"/>
  <c r="CS120" i="1"/>
  <c r="CQ120" i="1" s="1"/>
  <c r="CQ110" i="1"/>
  <c r="DB120" i="1"/>
  <c r="CZ120" i="1" s="1"/>
  <c r="CZ110" i="1"/>
  <c r="DH120" i="1"/>
  <c r="DF120" i="1" s="1"/>
  <c r="DF110" i="1"/>
  <c r="DN120" i="1"/>
  <c r="DL120" i="1" s="1"/>
  <c r="DL110" i="1"/>
  <c r="DW120" i="1"/>
  <c r="DU120" i="1" s="1"/>
  <c r="DU110" i="1"/>
  <c r="EC120" i="1"/>
  <c r="EA120" i="1" s="1"/>
  <c r="EA110" i="1"/>
  <c r="EI120" i="1"/>
  <c r="EG120" i="1" s="1"/>
  <c r="EG110" i="1"/>
  <c r="BE119" i="1"/>
  <c r="BP109" i="1" a="1"/>
  <c r="BP109" i="1" s="1"/>
  <c r="BP119" i="1" s="1"/>
  <c r="CG119" i="1"/>
  <c r="CE119" i="1" s="1"/>
  <c r="CE109" i="1"/>
  <c r="CM119" i="1"/>
  <c r="CK119" i="1" s="1"/>
  <c r="CK109" i="1"/>
  <c r="CS119" i="1"/>
  <c r="CQ119" i="1" s="1"/>
  <c r="CQ109" i="1"/>
  <c r="DB119" i="1"/>
  <c r="CZ119" i="1" s="1"/>
  <c r="CZ109" i="1"/>
  <c r="DH119" i="1"/>
  <c r="DF119" i="1" s="1"/>
  <c r="DF109" i="1"/>
  <c r="DN119" i="1"/>
  <c r="DL119" i="1" s="1"/>
  <c r="DL109" i="1"/>
  <c r="DW119" i="1"/>
  <c r="DU119" i="1" s="1"/>
  <c r="DU109" i="1"/>
  <c r="EC119" i="1"/>
  <c r="EA119" i="1" s="1"/>
  <c r="EA109" i="1"/>
  <c r="EI119" i="1"/>
  <c r="EG119" i="1" s="1"/>
  <c r="EG109" i="1"/>
  <c r="BE118" i="1"/>
  <c r="BP108" i="1" a="1"/>
  <c r="BP108" i="1" s="1"/>
  <c r="CG118" i="1"/>
  <c r="CE118" i="1" s="1"/>
  <c r="CE108" i="1"/>
  <c r="CM118" i="1"/>
  <c r="CK118" i="1" s="1"/>
  <c r="CK108" i="1"/>
  <c r="CS118" i="1"/>
  <c r="CQ118" i="1" s="1"/>
  <c r="CQ108" i="1"/>
  <c r="DB118" i="1"/>
  <c r="CZ118" i="1" s="1"/>
  <c r="CZ108" i="1"/>
  <c r="DH118" i="1"/>
  <c r="DF118" i="1" s="1"/>
  <c r="DF108" i="1"/>
  <c r="DN118" i="1"/>
  <c r="DL118" i="1" s="1"/>
  <c r="DL108" i="1"/>
  <c r="DW118" i="1"/>
  <c r="DU118" i="1" s="1"/>
  <c r="DU108" i="1"/>
  <c r="EC118" i="1"/>
  <c r="EA118" i="1" s="1"/>
  <c r="EA108" i="1"/>
  <c r="EI118" i="1"/>
  <c r="EG118" i="1" s="1"/>
  <c r="EG108" i="1"/>
  <c r="BE117" i="1"/>
  <c r="BP107" i="1" a="1"/>
  <c r="BP107" i="1" s="1"/>
  <c r="CG117" i="1"/>
  <c r="CE117" i="1" s="1"/>
  <c r="CE107" i="1"/>
  <c r="CM117" i="1"/>
  <c r="CK117" i="1" s="1"/>
  <c r="CK107" i="1"/>
  <c r="CS117" i="1"/>
  <c r="CQ117" i="1" s="1"/>
  <c r="CQ107" i="1"/>
  <c r="DB117" i="1"/>
  <c r="CZ117" i="1" s="1"/>
  <c r="CZ107" i="1"/>
  <c r="DH117" i="1"/>
  <c r="DF117" i="1" s="1"/>
  <c r="DF107" i="1"/>
  <c r="DN117" i="1"/>
  <c r="DL117" i="1" s="1"/>
  <c r="DL107" i="1"/>
  <c r="DW117" i="1"/>
  <c r="DU117" i="1" s="1"/>
  <c r="DU107" i="1"/>
  <c r="EC117" i="1"/>
  <c r="EA117" i="1" s="1"/>
  <c r="EA107" i="1"/>
  <c r="EI117" i="1"/>
  <c r="EG117" i="1" s="1"/>
  <c r="EG107" i="1"/>
  <c r="BE116" i="1"/>
  <c r="BP106" i="1" a="1"/>
  <c r="BP106" i="1" s="1"/>
  <c r="BP116" i="1" s="1"/>
  <c r="CG116" i="1"/>
  <c r="CE116" i="1" s="1"/>
  <c r="CE106" i="1"/>
  <c r="CM116" i="1"/>
  <c r="CK116" i="1" s="1"/>
  <c r="CK106" i="1"/>
  <c r="CS116" i="1"/>
  <c r="CQ116" i="1" s="1"/>
  <c r="CQ106" i="1"/>
  <c r="DB116" i="1"/>
  <c r="CZ116" i="1" s="1"/>
  <c r="CZ106" i="1"/>
  <c r="DH116" i="1"/>
  <c r="DF116" i="1" s="1"/>
  <c r="DF106" i="1"/>
  <c r="DN116" i="1"/>
  <c r="DL116" i="1" s="1"/>
  <c r="DL106" i="1"/>
  <c r="DW116" i="1"/>
  <c r="DU116" i="1" s="1"/>
  <c r="DU106" i="1"/>
  <c r="EC116" i="1"/>
  <c r="EA116" i="1" s="1"/>
  <c r="EA106" i="1"/>
  <c r="EI116" i="1"/>
  <c r="EG116" i="1" s="1"/>
  <c r="EG106" i="1"/>
  <c r="BE115" i="1"/>
  <c r="BP105" i="1" a="1"/>
  <c r="BP105" i="1" s="1"/>
  <c r="CG115" i="1"/>
  <c r="CE115" i="1" s="1"/>
  <c r="CE105" i="1"/>
  <c r="CM115" i="1"/>
  <c r="CK115" i="1" s="1"/>
  <c r="CK105" i="1"/>
  <c r="CS115" i="1"/>
  <c r="CQ115" i="1" s="1"/>
  <c r="CQ105" i="1"/>
  <c r="DB115" i="1"/>
  <c r="CZ115" i="1" s="1"/>
  <c r="CZ105" i="1"/>
  <c r="DH115" i="1"/>
  <c r="DF115" i="1" s="1"/>
  <c r="DF105" i="1"/>
  <c r="DN115" i="1"/>
  <c r="DL115" i="1" s="1"/>
  <c r="DL105" i="1"/>
  <c r="DW115" i="1"/>
  <c r="DU115" i="1" s="1"/>
  <c r="DU105" i="1"/>
  <c r="EC115" i="1"/>
  <c r="EA115" i="1" s="1"/>
  <c r="EA105" i="1"/>
  <c r="EI115" i="1"/>
  <c r="EG115" i="1" s="1"/>
  <c r="EG105" i="1"/>
  <c r="BE114" i="1"/>
  <c r="BP104" i="1" a="1"/>
  <c r="BP104" i="1" s="1"/>
  <c r="CG114" i="1"/>
  <c r="CE114" i="1" s="1"/>
  <c r="CE104" i="1"/>
  <c r="CM114" i="1"/>
  <c r="CK114" i="1" s="1"/>
  <c r="CK104" i="1"/>
  <c r="CS114" i="1"/>
  <c r="CQ114" i="1" s="1"/>
  <c r="CQ104" i="1"/>
  <c r="DB114" i="1"/>
  <c r="CZ114" i="1" s="1"/>
  <c r="CZ104" i="1"/>
  <c r="DH114" i="1"/>
  <c r="DF114" i="1" s="1"/>
  <c r="DF104" i="1"/>
  <c r="DN114" i="1"/>
  <c r="DL114" i="1" s="1"/>
  <c r="DL104" i="1"/>
  <c r="DW114" i="1"/>
  <c r="DU114" i="1" s="1"/>
  <c r="DU104" i="1"/>
  <c r="EC114" i="1"/>
  <c r="EA114" i="1" s="1"/>
  <c r="EA104" i="1"/>
  <c r="EI114" i="1"/>
  <c r="EG114" i="1" s="1"/>
  <c r="EG104" i="1"/>
  <c r="BE113" i="1"/>
  <c r="BP103" i="1" a="1"/>
  <c r="BP103" i="1" s="1"/>
  <c r="BP113" i="1" s="1"/>
  <c r="CG113" i="1"/>
  <c r="CE113" i="1" s="1"/>
  <c r="CE103" i="1"/>
  <c r="CM113" i="1"/>
  <c r="CK113" i="1" s="1"/>
  <c r="CK103" i="1"/>
  <c r="CS113" i="1"/>
  <c r="CQ113" i="1" s="1"/>
  <c r="CQ103" i="1"/>
  <c r="DB113" i="1"/>
  <c r="CZ113" i="1" s="1"/>
  <c r="CZ103" i="1"/>
  <c r="DH113" i="1"/>
  <c r="DF113" i="1" s="1"/>
  <c r="DF103" i="1"/>
  <c r="DN113" i="1"/>
  <c r="DL113" i="1" s="1"/>
  <c r="DL103" i="1"/>
  <c r="DW113" i="1"/>
  <c r="DU113" i="1" s="1"/>
  <c r="DU103" i="1"/>
  <c r="EC113" i="1"/>
  <c r="EA113" i="1" s="1"/>
  <c r="EA103" i="1"/>
  <c r="EI113" i="1"/>
  <c r="EG113" i="1" s="1"/>
  <c r="EG103" i="1"/>
  <c r="BE101" i="1"/>
  <c r="BP91" i="1" a="1"/>
  <c r="BP91" i="1" s="1"/>
  <c r="CG101" i="1"/>
  <c r="CE101" i="1" s="1"/>
  <c r="CE91" i="1"/>
  <c r="CM101" i="1"/>
  <c r="CK101" i="1" s="1"/>
  <c r="CK91" i="1"/>
  <c r="CS101" i="1"/>
  <c r="CQ101" i="1" s="1"/>
  <c r="CQ91" i="1"/>
  <c r="DB101" i="1"/>
  <c r="CZ101" i="1" s="1"/>
  <c r="CZ91" i="1"/>
  <c r="DH101" i="1"/>
  <c r="DF101" i="1" s="1"/>
  <c r="DF91" i="1"/>
  <c r="DN101" i="1"/>
  <c r="DL101" i="1" s="1"/>
  <c r="DL91" i="1"/>
  <c r="DW101" i="1"/>
  <c r="DU101" i="1" s="1"/>
  <c r="DU91" i="1"/>
  <c r="EC101" i="1"/>
  <c r="EA101" i="1" s="1"/>
  <c r="EA91" i="1"/>
  <c r="EI101" i="1"/>
  <c r="EG101" i="1" s="1"/>
  <c r="EG91" i="1"/>
  <c r="BE100" i="1"/>
  <c r="BP90" i="1" a="1"/>
  <c r="BP90" i="1" s="1"/>
  <c r="CG100" i="1"/>
  <c r="CE100" i="1" s="1"/>
  <c r="CE90" i="1"/>
  <c r="CM100" i="1"/>
  <c r="CK100" i="1" s="1"/>
  <c r="CK90" i="1"/>
  <c r="CS100" i="1"/>
  <c r="CQ100" i="1" s="1"/>
  <c r="CQ90" i="1"/>
  <c r="DB100" i="1"/>
  <c r="CZ100" i="1" s="1"/>
  <c r="CZ90" i="1"/>
  <c r="DH100" i="1"/>
  <c r="DF100" i="1" s="1"/>
  <c r="DF90" i="1"/>
  <c r="DN100" i="1"/>
  <c r="DL100" i="1" s="1"/>
  <c r="DL90" i="1"/>
  <c r="DW100" i="1"/>
  <c r="DU100" i="1" s="1"/>
  <c r="DU90" i="1"/>
  <c r="EC100" i="1"/>
  <c r="EA100" i="1" s="1"/>
  <c r="EA90" i="1"/>
  <c r="EI100" i="1"/>
  <c r="EG100" i="1" s="1"/>
  <c r="EG90" i="1"/>
  <c r="BE99" i="1"/>
  <c r="BP89" i="1" a="1"/>
  <c r="BP89" i="1" s="1"/>
  <c r="BP99" i="1" s="1"/>
  <c r="CG99" i="1"/>
  <c r="CE99" i="1" s="1"/>
  <c r="CE89" i="1"/>
  <c r="CM99" i="1"/>
  <c r="CK99" i="1" s="1"/>
  <c r="CK89" i="1"/>
  <c r="CS99" i="1"/>
  <c r="CQ99" i="1" s="1"/>
  <c r="CQ89" i="1"/>
  <c r="DB99" i="1"/>
  <c r="CZ99" i="1" s="1"/>
  <c r="CZ89" i="1"/>
  <c r="DH99" i="1"/>
  <c r="DF99" i="1" s="1"/>
  <c r="DF89" i="1"/>
  <c r="DN99" i="1"/>
  <c r="DL99" i="1" s="1"/>
  <c r="DL89" i="1"/>
  <c r="DW99" i="1"/>
  <c r="DU99" i="1" s="1"/>
  <c r="DU89" i="1"/>
  <c r="EC99" i="1"/>
  <c r="EA99" i="1" s="1"/>
  <c r="EA89" i="1"/>
  <c r="EI99" i="1"/>
  <c r="EG99" i="1" s="1"/>
  <c r="EG89" i="1"/>
  <c r="BE98" i="1"/>
  <c r="BP88" i="1" a="1"/>
  <c r="BP88" i="1" s="1"/>
  <c r="CG98" i="1"/>
  <c r="CE98" i="1" s="1"/>
  <c r="CE88" i="1"/>
  <c r="CM98" i="1"/>
  <c r="CK98" i="1" s="1"/>
  <c r="CK88" i="1"/>
  <c r="CS98" i="1"/>
  <c r="CQ98" i="1" s="1"/>
  <c r="CQ88" i="1"/>
  <c r="DB98" i="1"/>
  <c r="CZ98" i="1" s="1"/>
  <c r="CZ88" i="1"/>
  <c r="DH98" i="1"/>
  <c r="DF98" i="1" s="1"/>
  <c r="DF88" i="1"/>
  <c r="DN98" i="1"/>
  <c r="DL98" i="1" s="1"/>
  <c r="DL88" i="1"/>
  <c r="DW98" i="1"/>
  <c r="DU98" i="1" s="1"/>
  <c r="DU88" i="1"/>
  <c r="EC98" i="1"/>
  <c r="EA98" i="1" s="1"/>
  <c r="EA88" i="1"/>
  <c r="EI98" i="1"/>
  <c r="EG98" i="1" s="1"/>
  <c r="EG88" i="1"/>
  <c r="BE97" i="1"/>
  <c r="BP87" i="1" a="1"/>
  <c r="BP87" i="1" s="1"/>
  <c r="CG97" i="1"/>
  <c r="CE97" i="1" s="1"/>
  <c r="CE87" i="1"/>
  <c r="CM97" i="1"/>
  <c r="CK97" i="1" s="1"/>
  <c r="CK87" i="1"/>
  <c r="CS97" i="1"/>
  <c r="CQ97" i="1" s="1"/>
  <c r="CQ87" i="1"/>
  <c r="DB97" i="1"/>
  <c r="CZ97" i="1" s="1"/>
  <c r="CZ87" i="1"/>
  <c r="DH97" i="1"/>
  <c r="DF97" i="1" s="1"/>
  <c r="DF87" i="1"/>
  <c r="DN97" i="1"/>
  <c r="DL97" i="1" s="1"/>
  <c r="DL87" i="1"/>
  <c r="DW97" i="1"/>
  <c r="DU97" i="1" s="1"/>
  <c r="DU87" i="1"/>
  <c r="EC97" i="1"/>
  <c r="EA97" i="1" s="1"/>
  <c r="EA87" i="1"/>
  <c r="EI97" i="1"/>
  <c r="EG97" i="1" s="1"/>
  <c r="EG87" i="1"/>
  <c r="BE96" i="1"/>
  <c r="BP86" i="1" a="1"/>
  <c r="BP86" i="1" s="1"/>
  <c r="BP96" i="1" s="1"/>
  <c r="CG96" i="1"/>
  <c r="CE96" i="1" s="1"/>
  <c r="CE86" i="1"/>
  <c r="CM96" i="1"/>
  <c r="CK96" i="1" s="1"/>
  <c r="CK86" i="1"/>
  <c r="CS96" i="1"/>
  <c r="CQ96" i="1" s="1"/>
  <c r="CQ86" i="1"/>
  <c r="DB96" i="1"/>
  <c r="CZ96" i="1" s="1"/>
  <c r="CZ86" i="1"/>
  <c r="DH96" i="1"/>
  <c r="DF96" i="1" s="1"/>
  <c r="DF86" i="1"/>
  <c r="DN96" i="1"/>
  <c r="DL96" i="1" s="1"/>
  <c r="DL86" i="1"/>
  <c r="DW96" i="1"/>
  <c r="DU96" i="1" s="1"/>
  <c r="DU86" i="1"/>
  <c r="EC96" i="1"/>
  <c r="EA96" i="1" s="1"/>
  <c r="EA86" i="1"/>
  <c r="EI96" i="1"/>
  <c r="EG96" i="1" s="1"/>
  <c r="EG86" i="1"/>
  <c r="BE95" i="1"/>
  <c r="BP85" i="1" a="1"/>
  <c r="BP85" i="1" s="1"/>
  <c r="CG95" i="1"/>
  <c r="CE95" i="1" s="1"/>
  <c r="CE85" i="1"/>
  <c r="CM95" i="1"/>
  <c r="CK95" i="1" s="1"/>
  <c r="CK85" i="1"/>
  <c r="CS95" i="1"/>
  <c r="CQ95" i="1" s="1"/>
  <c r="CQ85" i="1"/>
  <c r="DB95" i="1"/>
  <c r="CZ95" i="1" s="1"/>
  <c r="CZ85" i="1"/>
  <c r="DH95" i="1"/>
  <c r="DF95" i="1" s="1"/>
  <c r="DF85" i="1"/>
  <c r="DN95" i="1"/>
  <c r="DL95" i="1" s="1"/>
  <c r="DL85" i="1"/>
  <c r="DW95" i="1"/>
  <c r="DU95" i="1" s="1"/>
  <c r="DU85" i="1"/>
  <c r="EC95" i="1"/>
  <c r="EA95" i="1" s="1"/>
  <c r="EA85" i="1"/>
  <c r="EI95" i="1"/>
  <c r="EG95" i="1" s="1"/>
  <c r="EG85" i="1"/>
  <c r="BE94" i="1"/>
  <c r="BP84" i="1" a="1"/>
  <c r="BP84" i="1" s="1"/>
  <c r="CG94" i="1"/>
  <c r="CE94" i="1" s="1"/>
  <c r="CE84" i="1"/>
  <c r="CM94" i="1"/>
  <c r="CK94" i="1" s="1"/>
  <c r="CK84" i="1"/>
  <c r="CS94" i="1"/>
  <c r="CQ94" i="1" s="1"/>
  <c r="CQ84" i="1"/>
  <c r="DB94" i="1"/>
  <c r="CZ94" i="1" s="1"/>
  <c r="CZ84" i="1"/>
  <c r="DH94" i="1"/>
  <c r="DF94" i="1" s="1"/>
  <c r="DF84" i="1"/>
  <c r="DN94" i="1"/>
  <c r="DL94" i="1" s="1"/>
  <c r="DL84" i="1"/>
  <c r="DW94" i="1"/>
  <c r="DU94" i="1" s="1"/>
  <c r="DU84" i="1"/>
  <c r="EC94" i="1"/>
  <c r="EA94" i="1" s="1"/>
  <c r="EA84" i="1"/>
  <c r="EI94" i="1"/>
  <c r="EG94" i="1" s="1"/>
  <c r="EG84" i="1"/>
  <c r="BE93" i="1"/>
  <c r="BP83" i="1" a="1"/>
  <c r="BP83" i="1" s="1"/>
  <c r="BP93" i="1" s="1"/>
  <c r="CG93" i="1"/>
  <c r="CE93" i="1" s="1"/>
  <c r="CE83" i="1"/>
  <c r="CM93" i="1"/>
  <c r="CK93" i="1" s="1"/>
  <c r="CK83" i="1"/>
  <c r="CS93" i="1"/>
  <c r="CQ93" i="1" s="1"/>
  <c r="CQ83" i="1"/>
  <c r="DB93" i="1"/>
  <c r="CZ93" i="1" s="1"/>
  <c r="CZ83" i="1"/>
  <c r="DH93" i="1"/>
  <c r="DF93" i="1" s="1"/>
  <c r="DF83" i="1"/>
  <c r="DN93" i="1"/>
  <c r="DL93" i="1" s="1"/>
  <c r="DL83" i="1"/>
  <c r="DW93" i="1"/>
  <c r="DU93" i="1" s="1"/>
  <c r="DU83" i="1"/>
  <c r="EC93" i="1"/>
  <c r="EA93" i="1" s="1"/>
  <c r="EA83" i="1"/>
  <c r="EI93" i="1"/>
  <c r="EG93" i="1" s="1"/>
  <c r="EG83" i="1"/>
  <c r="BE81" i="1"/>
  <c r="BP71" i="1" a="1"/>
  <c r="BP71" i="1" s="1"/>
  <c r="CG81" i="1"/>
  <c r="CE81" i="1" s="1"/>
  <c r="CE71" i="1"/>
  <c r="CM81" i="1"/>
  <c r="CK81" i="1" s="1"/>
  <c r="CK71" i="1"/>
  <c r="CS81" i="1"/>
  <c r="CQ81" i="1" s="1"/>
  <c r="CQ71" i="1"/>
  <c r="DB81" i="1"/>
  <c r="CZ81" i="1" s="1"/>
  <c r="CZ71" i="1"/>
  <c r="DH81" i="1"/>
  <c r="DF81" i="1" s="1"/>
  <c r="DF71" i="1"/>
  <c r="DN81" i="1"/>
  <c r="DL81" i="1" s="1"/>
  <c r="DL71" i="1"/>
  <c r="DW81" i="1"/>
  <c r="DU81" i="1" s="1"/>
  <c r="DU71" i="1"/>
  <c r="EC81" i="1"/>
  <c r="EA81" i="1" s="1"/>
  <c r="EA71" i="1"/>
  <c r="EI81" i="1"/>
  <c r="EG81" i="1" s="1"/>
  <c r="EG71" i="1"/>
  <c r="BE80" i="1"/>
  <c r="BP70" i="1" a="1"/>
  <c r="BP70" i="1" s="1"/>
  <c r="CG80" i="1"/>
  <c r="CE80" i="1" s="1"/>
  <c r="CE70" i="1"/>
  <c r="CM80" i="1"/>
  <c r="CK80" i="1" s="1"/>
  <c r="CK70" i="1"/>
  <c r="CS80" i="1"/>
  <c r="CQ80" i="1" s="1"/>
  <c r="CQ70" i="1"/>
  <c r="DB80" i="1"/>
  <c r="CZ80" i="1" s="1"/>
  <c r="CZ70" i="1"/>
  <c r="DH80" i="1"/>
  <c r="DF80" i="1" s="1"/>
  <c r="DF70" i="1"/>
  <c r="DN80" i="1"/>
  <c r="DL80" i="1" s="1"/>
  <c r="DL70" i="1"/>
  <c r="DW80" i="1"/>
  <c r="DU80" i="1" s="1"/>
  <c r="DU70" i="1"/>
  <c r="EC80" i="1"/>
  <c r="EA80" i="1" s="1"/>
  <c r="EA70" i="1"/>
  <c r="EI80" i="1"/>
  <c r="EG80" i="1" s="1"/>
  <c r="EG70" i="1"/>
  <c r="BE79" i="1"/>
  <c r="BP69" i="1" a="1"/>
  <c r="BP69" i="1" s="1"/>
  <c r="BP79" i="1" s="1"/>
  <c r="CG79" i="1"/>
  <c r="CE79" i="1" s="1"/>
  <c r="CE69" i="1"/>
  <c r="CM79" i="1"/>
  <c r="CK79" i="1" s="1"/>
  <c r="CK69" i="1"/>
  <c r="CS79" i="1"/>
  <c r="CQ79" i="1" s="1"/>
  <c r="CQ69" i="1"/>
  <c r="DB79" i="1"/>
  <c r="CZ79" i="1" s="1"/>
  <c r="CZ69" i="1"/>
  <c r="DH79" i="1"/>
  <c r="DF79" i="1" s="1"/>
  <c r="DF69" i="1"/>
  <c r="DN79" i="1"/>
  <c r="DL79" i="1" s="1"/>
  <c r="DL69" i="1"/>
  <c r="DW79" i="1"/>
  <c r="DU79" i="1" s="1"/>
  <c r="DU69" i="1"/>
  <c r="EC79" i="1"/>
  <c r="EA79" i="1" s="1"/>
  <c r="EA69" i="1"/>
  <c r="EI79" i="1"/>
  <c r="EG79" i="1" s="1"/>
  <c r="EG69" i="1"/>
  <c r="BE78" i="1"/>
  <c r="BP68" i="1" a="1"/>
  <c r="BP68" i="1" s="1"/>
  <c r="CG78" i="1"/>
  <c r="CE78" i="1" s="1"/>
  <c r="CE68" i="1"/>
  <c r="CM78" i="1"/>
  <c r="CK78" i="1" s="1"/>
  <c r="CK68" i="1"/>
  <c r="CS78" i="1"/>
  <c r="CQ78" i="1" s="1"/>
  <c r="CQ68" i="1"/>
  <c r="DB78" i="1"/>
  <c r="CZ78" i="1" s="1"/>
  <c r="CZ68" i="1"/>
  <c r="DH78" i="1"/>
  <c r="DF78" i="1" s="1"/>
  <c r="DF68" i="1"/>
  <c r="DN78" i="1"/>
  <c r="DL78" i="1" s="1"/>
  <c r="DL68" i="1"/>
  <c r="DW78" i="1"/>
  <c r="DU78" i="1" s="1"/>
  <c r="DU68" i="1"/>
  <c r="EC78" i="1"/>
  <c r="EA78" i="1" s="1"/>
  <c r="EA68" i="1"/>
  <c r="EI78" i="1"/>
  <c r="EG78" i="1" s="1"/>
  <c r="EG68" i="1"/>
  <c r="BE77" i="1"/>
  <c r="BP67" i="1" a="1"/>
  <c r="BP67" i="1" s="1"/>
  <c r="CG77" i="1"/>
  <c r="CE77" i="1" s="1"/>
  <c r="CE67" i="1"/>
  <c r="CM77" i="1"/>
  <c r="CK77" i="1" s="1"/>
  <c r="CK67" i="1"/>
  <c r="CS77" i="1"/>
  <c r="CQ77" i="1" s="1"/>
  <c r="CQ67" i="1"/>
  <c r="DB77" i="1"/>
  <c r="CZ77" i="1" s="1"/>
  <c r="CZ67" i="1"/>
  <c r="DH77" i="1"/>
  <c r="DF77" i="1" s="1"/>
  <c r="DF67" i="1"/>
  <c r="DN77" i="1"/>
  <c r="DL77" i="1" s="1"/>
  <c r="DL67" i="1"/>
  <c r="DW77" i="1"/>
  <c r="DU77" i="1" s="1"/>
  <c r="DU67" i="1"/>
  <c r="EC77" i="1"/>
  <c r="EA77" i="1" s="1"/>
  <c r="EA67" i="1"/>
  <c r="EI77" i="1"/>
  <c r="EG77" i="1" s="1"/>
  <c r="EG67" i="1"/>
  <c r="BE76" i="1"/>
  <c r="BP66" i="1" a="1"/>
  <c r="BP66" i="1" s="1"/>
  <c r="BP76" i="1" s="1"/>
  <c r="CG76" i="1"/>
  <c r="CE76" i="1" s="1"/>
  <c r="CE66" i="1"/>
  <c r="CM76" i="1"/>
  <c r="CK76" i="1" s="1"/>
  <c r="CK66" i="1"/>
  <c r="CS76" i="1"/>
  <c r="CQ76" i="1" s="1"/>
  <c r="CQ66" i="1"/>
  <c r="DB76" i="1"/>
  <c r="CZ76" i="1" s="1"/>
  <c r="CZ66" i="1"/>
  <c r="DH76" i="1"/>
  <c r="DF76" i="1" s="1"/>
  <c r="DF66" i="1"/>
  <c r="DN76" i="1"/>
  <c r="DL76" i="1" s="1"/>
  <c r="DL66" i="1"/>
  <c r="DW76" i="1"/>
  <c r="DU76" i="1" s="1"/>
  <c r="DU66" i="1"/>
  <c r="EC76" i="1"/>
  <c r="EA76" i="1" s="1"/>
  <c r="EA66" i="1"/>
  <c r="EI76" i="1"/>
  <c r="EG76" i="1" s="1"/>
  <c r="EG66" i="1"/>
  <c r="BE75" i="1"/>
  <c r="BP65" i="1" a="1"/>
  <c r="BP65" i="1" s="1"/>
  <c r="CG75" i="1"/>
  <c r="CE75" i="1" s="1"/>
  <c r="CE65" i="1"/>
  <c r="CM75" i="1"/>
  <c r="CK75" i="1" s="1"/>
  <c r="CK65" i="1"/>
  <c r="CS75" i="1"/>
  <c r="CQ75" i="1" s="1"/>
  <c r="CQ65" i="1"/>
  <c r="DB75" i="1"/>
  <c r="CZ75" i="1" s="1"/>
  <c r="CZ65" i="1"/>
  <c r="DH75" i="1"/>
  <c r="DF75" i="1" s="1"/>
  <c r="DF65" i="1"/>
  <c r="DN75" i="1"/>
  <c r="DL75" i="1" s="1"/>
  <c r="DL65" i="1"/>
  <c r="DW75" i="1"/>
  <c r="DU75" i="1" s="1"/>
  <c r="DU65" i="1"/>
  <c r="EC75" i="1"/>
  <c r="EA75" i="1" s="1"/>
  <c r="EA65" i="1"/>
  <c r="EI75" i="1"/>
  <c r="EG75" i="1" s="1"/>
  <c r="EG65" i="1"/>
  <c r="BE74" i="1"/>
  <c r="BP64" i="1" a="1"/>
  <c r="BP64" i="1" s="1"/>
  <c r="CG74" i="1"/>
  <c r="CE74" i="1" s="1"/>
  <c r="CE64" i="1"/>
  <c r="CM74" i="1"/>
  <c r="CK74" i="1" s="1"/>
  <c r="CK64" i="1"/>
  <c r="CS74" i="1"/>
  <c r="CQ74" i="1" s="1"/>
  <c r="CQ64" i="1"/>
  <c r="DB74" i="1"/>
  <c r="CZ74" i="1" s="1"/>
  <c r="CZ64" i="1"/>
  <c r="DH74" i="1"/>
  <c r="DF74" i="1" s="1"/>
  <c r="DF64" i="1"/>
  <c r="DN74" i="1"/>
  <c r="DL74" i="1" s="1"/>
  <c r="DL64" i="1"/>
  <c r="DW74" i="1"/>
  <c r="DU74" i="1" s="1"/>
  <c r="DU64" i="1"/>
  <c r="EC74" i="1"/>
  <c r="EA74" i="1" s="1"/>
  <c r="EA64" i="1"/>
  <c r="EI74" i="1"/>
  <c r="EG74" i="1" s="1"/>
  <c r="EG64" i="1"/>
  <c r="BE73" i="1"/>
  <c r="BP63" i="1" a="1"/>
  <c r="BP63" i="1" s="1"/>
  <c r="BP73" i="1" s="1"/>
  <c r="CG73" i="1"/>
  <c r="CE73" i="1" s="1"/>
  <c r="CE63" i="1"/>
  <c r="CM73" i="1"/>
  <c r="CK73" i="1" s="1"/>
  <c r="CK63" i="1"/>
  <c r="CS73" i="1"/>
  <c r="CQ73" i="1" s="1"/>
  <c r="CQ63" i="1"/>
  <c r="DB73" i="1"/>
  <c r="CZ73" i="1" s="1"/>
  <c r="CZ63" i="1"/>
  <c r="DH73" i="1"/>
  <c r="DF73" i="1" s="1"/>
  <c r="DF63" i="1"/>
  <c r="DN73" i="1"/>
  <c r="DL73" i="1" s="1"/>
  <c r="DL63" i="1"/>
  <c r="DW73" i="1"/>
  <c r="DU73" i="1" s="1"/>
  <c r="DU63" i="1"/>
  <c r="EC73" i="1"/>
  <c r="EA73" i="1" s="1"/>
  <c r="EA63" i="1"/>
  <c r="EI73" i="1"/>
  <c r="EG73" i="1" s="1"/>
  <c r="EG63" i="1"/>
  <c r="AA61" i="1"/>
  <c r="W61" i="1"/>
  <c r="AA60" i="1"/>
  <c r="W60" i="1"/>
  <c r="AA59" i="1"/>
  <c r="W59" i="1"/>
  <c r="AA55" i="1"/>
  <c r="W55" i="1"/>
  <c r="AA54" i="1"/>
  <c r="W54" i="1"/>
  <c r="AA53" i="1"/>
  <c r="W53" i="1"/>
  <c r="BP74" i="1" l="1"/>
  <c r="BP75" i="1"/>
  <c r="BP77" i="1"/>
  <c r="BP78" i="1"/>
  <c r="BP80" i="1"/>
  <c r="BP81" i="1"/>
  <c r="BP94" i="1"/>
  <c r="BP95" i="1"/>
  <c r="BP97" i="1"/>
  <c r="BP98" i="1"/>
  <c r="BP100" i="1"/>
  <c r="BP101" i="1"/>
  <c r="BP114" i="1"/>
  <c r="BP115" i="1"/>
  <c r="BP117" i="1"/>
  <c r="BP118" i="1"/>
  <c r="BP120" i="1"/>
  <c r="BP1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<sst xmlns="http://schemas.openxmlformats.org/spreadsheetml/2006/main" count="559" uniqueCount="92">
  <si>
    <t>Flächen-Code</t>
  </si>
  <si>
    <t xml:space="preserve">Nr. </t>
  </si>
  <si>
    <t>Gebäudetyp</t>
  </si>
  <si>
    <t>Dichte</t>
  </si>
  <si>
    <t>Straßenform/ Erschließungstyp</t>
  </si>
  <si>
    <t xml:space="preserve">Gesamtfläche </t>
  </si>
  <si>
    <t xml:space="preserve">Baufelder und sonstige Freiflächen                    </t>
  </si>
  <si>
    <t>Straßenflächen (öffentlich)</t>
  </si>
  <si>
    <t>Rad- und Gehweg- flächen (öffentlich)</t>
  </si>
  <si>
    <t>Oberirdische Stellplatzflächen (öffentlich)</t>
  </si>
  <si>
    <t>Grundflächen Wohngebäude (brutto)</t>
  </si>
  <si>
    <t>Garagengrundflächen (brutto) (1)</t>
  </si>
  <si>
    <t>Anteil überbaute Flächen gesamt</t>
  </si>
  <si>
    <t xml:space="preserve">Flächen Tiefgaragen (brutto) (2)                  </t>
  </si>
  <si>
    <t>Flächen Tiefgaragen (netto) (3)</t>
  </si>
  <si>
    <t>Kellerflächen (brutto) (4)</t>
  </si>
  <si>
    <t>Kellerflächen netto (5)</t>
  </si>
  <si>
    <t>Aushubvolumen (m3)</t>
  </si>
  <si>
    <t>Summe aller überbauter Teilflächen (m²)</t>
  </si>
  <si>
    <t>Quartiers-GRZ</t>
  </si>
  <si>
    <t>Quartiers-GFZ</t>
  </si>
  <si>
    <t xml:space="preserve">Obergeschosse </t>
  </si>
  <si>
    <t>BGF (m²) inkl. oberirdische Garagen</t>
  </si>
  <si>
    <t>NRF (m²) inkl. oberirdische Garagen (5)</t>
  </si>
  <si>
    <t>BGF (m²) Wohnen (inkl. Keller)</t>
  </si>
  <si>
    <t>Nettoraumfläche NRF (m2)</t>
  </si>
  <si>
    <t xml:space="preserve"> Nettowohnfläche NUF (m2)</t>
  </si>
  <si>
    <t>davon NRF (m²) Balkone (6)</t>
  </si>
  <si>
    <t>davon NRF (m²) Wohnen Innenräume (7)</t>
  </si>
  <si>
    <t>Grundflächen (brutto)</t>
  </si>
  <si>
    <t>Dachflächen</t>
  </si>
  <si>
    <t>Fassadenflächen</t>
  </si>
  <si>
    <t>Hüllflächen gesamt          (mit Bodenplatte)</t>
  </si>
  <si>
    <t>Volumen (m³)</t>
  </si>
  <si>
    <t>A/V-Verhältnis Wohngebäude</t>
  </si>
  <si>
    <t>Länge Straßen               (mittig Straße)</t>
  </si>
  <si>
    <t>Zuwege zu den Gebäuden (von Häusern zur Straßenmitte) (lfm)</t>
  </si>
  <si>
    <t>Netzlänge gesamt (Straßenlängen (mittig) + Zuwege) (lfm)</t>
  </si>
  <si>
    <t>Anzahl Gebäude/ Kachel</t>
  </si>
  <si>
    <t>Nettowohnfläche pro Person (8) (statistisch)</t>
  </si>
  <si>
    <t>WFL/WE (m²) (9) (statistisch)</t>
  </si>
  <si>
    <t>BGF/WE (10) (rechnerisch aus Statistik abgeleitet)</t>
  </si>
  <si>
    <t>Bewohner Kachel insg. (rechnerisch)</t>
  </si>
  <si>
    <t>WE Kachel insg. (rechnerisch)</t>
  </si>
  <si>
    <t>Straßenfläche pro Bewohner (m²)</t>
  </si>
  <si>
    <t>Straßenfläche pro WE (m²)</t>
  </si>
  <si>
    <t>Dachtyp</t>
  </si>
  <si>
    <t>Bodenplatte - 320</t>
  </si>
  <si>
    <t>Boden (m2) (alle Geschosse) - 320</t>
  </si>
  <si>
    <t>Außenwände (m2) - 330</t>
  </si>
  <si>
    <t>Außenwände abzügli. Fenster &amp; Türen (m2) - 330</t>
  </si>
  <si>
    <t>Kellerboden brutto (m2) - 320</t>
  </si>
  <si>
    <t>Kellerwände (m2) - 330</t>
  </si>
  <si>
    <t>Außentüren (Stk) - 330</t>
  </si>
  <si>
    <t>Fensterflächenanteil (%) - 330</t>
  </si>
  <si>
    <t>Außenfenster (m2) - 330</t>
  </si>
  <si>
    <t>Tragende Innenwände abzügl. Türen (m2) - 340</t>
  </si>
  <si>
    <t>Nichttragende Innenwände abzügl. Innentüren (m2) - 340</t>
  </si>
  <si>
    <t>Innentüren (Stk) - 340</t>
  </si>
  <si>
    <t>Decken (m2) - 350</t>
  </si>
  <si>
    <t>Treppen (Stk) - 350</t>
  </si>
  <si>
    <t>Dachkonstruktion (m2) - 360</t>
  </si>
  <si>
    <t>Lüftungskanal Länge (lm)</t>
  </si>
  <si>
    <t xml:space="preserve">Stromkabel lm </t>
  </si>
  <si>
    <t xml:space="preserve">Steckdosen (Stk) </t>
  </si>
  <si>
    <t>Lichtschalter (Stk)</t>
  </si>
  <si>
    <t>Aufzug (Stk)</t>
  </si>
  <si>
    <t>Trinkwarmwasserbedarf (60 °C) gesamt in MWh pro Jahr</t>
  </si>
  <si>
    <t>E-Kennwert</t>
  </si>
  <si>
    <t>Wärmebedarf gesamt kWh/a</t>
  </si>
  <si>
    <t>Installierte Leistung thermisch kW</t>
  </si>
  <si>
    <t>CO2-Ausstoß Betrieb pro Nutzfläche kg/m²/a</t>
  </si>
  <si>
    <t>Betriebsenergie (Stromverbrauch, Gasverbrauch, etc.) in kWh/a</t>
  </si>
  <si>
    <t>GWP-CO2-Äquvivalent (nur Konstruktion) in kg*a - Werte aus eLCA</t>
  </si>
  <si>
    <t>Jahresarbeitszahl Luft-Wasser-Wärmepumpe</t>
  </si>
  <si>
    <t>EFH</t>
  </si>
  <si>
    <t>gering</t>
  </si>
  <si>
    <t>Kreuzung</t>
  </si>
  <si>
    <t>Sattel</t>
  </si>
  <si>
    <t>Kurve</t>
  </si>
  <si>
    <t>Wendehammer</t>
  </si>
  <si>
    <t>mittel</t>
  </si>
  <si>
    <t>hoch</t>
  </si>
  <si>
    <t>Gitter</t>
  </si>
  <si>
    <t>Schlaufe</t>
  </si>
  <si>
    <t>Sackgasse</t>
  </si>
  <si>
    <t>DH</t>
  </si>
  <si>
    <t>RH</t>
  </si>
  <si>
    <t>Zeile</t>
  </si>
  <si>
    <t>Flach</t>
  </si>
  <si>
    <t>Punkt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</si>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</sst>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€_-;\-* #,##0\ _€_-;_-* &quot;-&quot;??\ _€_-;_-@"/>
    <numFmt numFmtId="165" formatCode="_-* #,##0.0\ _€_-;\-* #,##0.0\ _€_-;_-* &quot;-&quot;??\ _€_-;_-@"/>
    <numFmt numFmtId="166" formatCode="#,##0.0"/>
    <numFmt numFmtId="167" formatCode="0.0"/>
    <numFmt numFmtId="168" formatCode="_-* #,##0.00\ _€_-;\-* #,##0.00\ _€_-;_-* &quot;-&quot;??\ _€_-;_-@"/>
    <numFmt numFmtId="169" formatCode="_-* #,##0.0\ _€_-;\-* #,##0.0\ _€_-;_-* &quot;-&quot;??.0\ _€_-;_-@"/>
    <numFmt numFmtId="170" formatCode="_-* #,##0.00\ _€_-;\-* #,##0.00\ _€_-;_-* &quot;-&quot;??.00\ _€_-;_-@"/>
  </numFmts>
  <fonts count="14">
    <font>
      <sz val="11"/>
      <color theme="1"/>
      <name val="Calibri"/>
      <family val="2"/>
      <scheme val="minor"/>
    </font>
    <font>
      <b/>
      <sz val="8"/>
      <color rgb="FF0C0C0C"/>
      <name val="Calibri"/>
      <family val="2"/>
    </font>
    <font>
      <b/>
      <sz val="9"/>
      <color theme="1"/>
      <name val="Calibri"/>
      <family val="2"/>
    </font>
    <font>
      <b/>
      <sz val="8"/>
      <color theme="0"/>
      <name val="Calibri"/>
      <family val="2"/>
    </font>
    <font>
      <b/>
      <sz val="8"/>
      <color rgb="FFFFFFFF"/>
      <name val="Calibri"/>
      <family val="2"/>
    </font>
    <font>
      <b/>
      <sz val="9"/>
      <color theme="0"/>
      <name val="Calibri"/>
      <family val="2"/>
    </font>
    <font>
      <b/>
      <sz val="8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8"/>
      <color rgb="FF000000"/>
      <name val="Calibri"/>
      <family val="2"/>
    </font>
    <font>
      <sz val="8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  <fill>
      <patternFill patternType="solid">
        <fgColor rgb="FFFFFF99"/>
        <bgColor rgb="FFFFFF99"/>
      </patternFill>
    </fill>
    <fill>
      <patternFill patternType="solid">
        <fgColor rgb="FFFFD966"/>
        <bgColor rgb="FFFFD966"/>
      </patternFill>
    </fill>
    <fill>
      <patternFill patternType="solid">
        <fgColor rgb="FFF2F2F2"/>
        <bgColor rgb="FFF2F2F2"/>
      </patternFill>
    </fill>
    <fill>
      <patternFill patternType="solid">
        <fgColor rgb="FFCFE2F3"/>
        <bgColor rgb="FFCFE2F3"/>
      </patternFill>
    </fill>
    <fill>
      <patternFill patternType="solid">
        <fgColor rgb="FFE2EFD9"/>
        <bgColor rgb="FFE2EFD9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F2D0"/>
        <bgColor rgb="FFD9F2D0"/>
      </patternFill>
    </fill>
    <fill>
      <patternFill patternType="solid">
        <fgColor rgb="FFF5C6AC"/>
        <bgColor rgb="FFF5C6AC"/>
      </patternFill>
    </fill>
    <fill>
      <patternFill patternType="solid">
        <fgColor rgb="FFD9D9D9"/>
        <bgColor rgb="FFD9D9D9"/>
      </patternFill>
    </fill>
    <fill>
      <patternFill patternType="solid">
        <fgColor rgb="FFCAEDFB"/>
        <bgColor rgb="FFCAEDFB"/>
      </patternFill>
    </fill>
    <fill>
      <patternFill patternType="solid">
        <fgColor rgb="FFE49EDD"/>
        <bgColor rgb="FFE49EDD"/>
      </patternFill>
    </fill>
    <fill>
      <patternFill patternType="solid">
        <fgColor rgb="FFB7B7B7"/>
        <bgColor rgb="FFB7B7B7"/>
      </patternFill>
    </fill>
    <fill>
      <patternFill patternType="solid">
        <fgColor rgb="FFECECEC"/>
        <bgColor rgb="FFECECEC"/>
      </patternFill>
    </fill>
    <fill>
      <patternFill patternType="solid">
        <fgColor rgb="FFEFEFEF"/>
        <bgColor rgb="FFEFEFEF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rgb="FFD0CECE"/>
        <bgColor rgb="FFD0CECE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CC4125"/>
      </left>
      <right style="thick">
        <color rgb="FFCC4125"/>
      </right>
      <top style="thick">
        <color rgb="FFCC4125"/>
      </top>
      <bottom style="thick">
        <color rgb="FFCC4125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666666"/>
      </bottom>
      <diagonal/>
    </border>
    <border>
      <left style="thick">
        <color rgb="FF134F5C"/>
      </left>
      <right style="thick">
        <color rgb="FF134F5C"/>
      </right>
      <top style="thick">
        <color rgb="FF134F5C"/>
      </top>
      <bottom style="thick">
        <color rgb="FF134F5C"/>
      </bottom>
      <diagonal/>
    </border>
    <border>
      <left style="thick">
        <color rgb="FFA64D79"/>
      </left>
      <right style="thick">
        <color rgb="FFA64D79"/>
      </right>
      <top style="thick">
        <color rgb="FFA64D79"/>
      </top>
      <bottom style="thick">
        <color rgb="FFA64D79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2" fillId="3" borderId="0" xfId="0" applyFont="1" applyFill="1" applyAlignment="1">
      <alignment horizontal="left"/>
    </xf>
    <xf numFmtId="0" fontId="5" fillId="0" borderId="0" xfId="0" applyFont="1" applyAlignment="1">
      <alignment horizontal="left" vertical="top" wrapText="1"/>
    </xf>
    <xf numFmtId="0" fontId="7" fillId="0" borderId="0" xfId="0" applyFont="1"/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textRotation="90" wrapText="1"/>
    </xf>
    <xf numFmtId="0" fontId="8" fillId="0" borderId="0" xfId="0" applyFont="1"/>
    <xf numFmtId="0" fontId="9" fillId="0" borderId="0" xfId="0" applyFont="1"/>
    <xf numFmtId="0" fontId="1" fillId="3" borderId="0" xfId="0" applyFont="1" applyFill="1" applyAlignment="1">
      <alignment horizontal="center" textRotation="90" wrapText="1"/>
    </xf>
    <xf numFmtId="0" fontId="3" fillId="3" borderId="0" xfId="0" applyFont="1" applyFill="1" applyAlignment="1">
      <alignment horizontal="center" textRotation="90" wrapText="1"/>
    </xf>
    <xf numFmtId="0" fontId="5" fillId="3" borderId="0" xfId="0" applyFont="1" applyFill="1" applyAlignment="1">
      <alignment horizontal="left" vertical="top" wrapText="1"/>
    </xf>
    <xf numFmtId="0" fontId="9" fillId="3" borderId="0" xfId="0" applyFont="1" applyFill="1"/>
    <xf numFmtId="0" fontId="9" fillId="11" borderId="10" xfId="0" applyFont="1" applyFill="1" applyBorder="1"/>
    <xf numFmtId="0" fontId="9" fillId="11" borderId="11" xfId="0" applyFont="1" applyFill="1" applyBorder="1"/>
    <xf numFmtId="0" fontId="9" fillId="11" borderId="12" xfId="0" applyFont="1" applyFill="1" applyBorder="1"/>
    <xf numFmtId="0" fontId="9" fillId="11" borderId="13" xfId="0" applyFont="1" applyFill="1" applyBorder="1"/>
    <xf numFmtId="0" fontId="9" fillId="11" borderId="14" xfId="0" applyFont="1" applyFill="1" applyBorder="1"/>
    <xf numFmtId="0" fontId="9" fillId="11" borderId="0" xfId="0" applyFont="1" applyFill="1"/>
    <xf numFmtId="0" fontId="2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6" fillId="3" borderId="1" xfId="0" applyNumberFormat="1" applyFont="1" applyFill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164" fontId="6" fillId="3" borderId="15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164" fontId="6" fillId="3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164" fontId="6" fillId="3" borderId="0" xfId="0" applyNumberFormat="1" applyFont="1" applyFill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165" fontId="6" fillId="11" borderId="1" xfId="0" applyNumberFormat="1" applyFont="1" applyFill="1" applyBorder="1" applyAlignment="1">
      <alignment horizontal="center" vertical="center"/>
    </xf>
    <xf numFmtId="9" fontId="6" fillId="11" borderId="1" xfId="0" applyNumberFormat="1" applyFont="1" applyFill="1" applyBorder="1" applyAlignment="1">
      <alignment horizontal="center" vertical="center"/>
    </xf>
    <xf numFmtId="3" fontId="6" fillId="11" borderId="1" xfId="0" applyNumberFormat="1" applyFont="1" applyFill="1" applyBorder="1" applyAlignment="1">
      <alignment horizontal="center"/>
    </xf>
    <xf numFmtId="166" fontId="6" fillId="11" borderId="1" xfId="0" applyNumberFormat="1" applyFont="1" applyFill="1" applyBorder="1" applyAlignment="1">
      <alignment horizontal="center"/>
    </xf>
    <xf numFmtId="4" fontId="6" fillId="11" borderId="1" xfId="0" applyNumberFormat="1" applyFont="1" applyFill="1" applyBorder="1" applyAlignment="1">
      <alignment horizontal="center"/>
    </xf>
    <xf numFmtId="3" fontId="6" fillId="11" borderId="1" xfId="0" applyNumberFormat="1" applyFont="1" applyFill="1" applyBorder="1" applyAlignment="1">
      <alignment horizontal="right"/>
    </xf>
    <xf numFmtId="4" fontId="6" fillId="11" borderId="1" xfId="0" applyNumberFormat="1" applyFont="1" applyFill="1" applyBorder="1" applyAlignment="1">
      <alignment horizontal="right"/>
    </xf>
    <xf numFmtId="164" fontId="6" fillId="3" borderId="17" xfId="0" applyNumberFormat="1" applyFont="1" applyFill="1" applyBorder="1" applyAlignment="1">
      <alignment horizontal="left" vertical="center" wrapText="1"/>
    </xf>
    <xf numFmtId="9" fontId="2" fillId="3" borderId="17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" fillId="19" borderId="1" xfId="0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center" vertical="center"/>
    </xf>
    <xf numFmtId="164" fontId="6" fillId="19" borderId="1" xfId="0" applyNumberFormat="1" applyFont="1" applyFill="1" applyBorder="1" applyAlignment="1">
      <alignment horizontal="left" vertical="center" wrapText="1"/>
    </xf>
    <xf numFmtId="164" fontId="6" fillId="19" borderId="17" xfId="0" applyNumberFormat="1" applyFont="1" applyFill="1" applyBorder="1" applyAlignment="1">
      <alignment horizontal="left" vertical="center" wrapText="1"/>
    </xf>
    <xf numFmtId="164" fontId="6" fillId="7" borderId="1" xfId="0" applyNumberFormat="1" applyFont="1" applyFill="1" applyBorder="1" applyAlignment="1">
      <alignment horizontal="left" vertical="center" wrapText="1"/>
    </xf>
    <xf numFmtId="9" fontId="2" fillId="19" borderId="17" xfId="0" applyNumberFormat="1" applyFont="1" applyFill="1" applyBorder="1" applyAlignment="1">
      <alignment horizontal="center" vertical="center" wrapText="1"/>
    </xf>
    <xf numFmtId="164" fontId="6" fillId="19" borderId="18" xfId="0" applyNumberFormat="1" applyFont="1" applyFill="1" applyBorder="1" applyAlignment="1">
      <alignment horizontal="left" vertical="center" wrapText="1"/>
    </xf>
    <xf numFmtId="164" fontId="6" fillId="7" borderId="1" xfId="0" applyNumberFormat="1" applyFont="1" applyFill="1" applyBorder="1" applyAlignment="1">
      <alignment horizontal="center" vertical="center"/>
    </xf>
    <xf numFmtId="2" fontId="2" fillId="19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164" fontId="6" fillId="19" borderId="1" xfId="0" applyNumberFormat="1" applyFont="1" applyFill="1" applyBorder="1" applyAlignment="1">
      <alignment horizontal="center" vertical="center"/>
    </xf>
    <xf numFmtId="165" fontId="2" fillId="19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2" fillId="3" borderId="0" xfId="0" applyFont="1" applyFill="1" applyAlignment="1">
      <alignment horizontal="left" vertical="top"/>
    </xf>
    <xf numFmtId="164" fontId="2" fillId="19" borderId="1" xfId="0" applyNumberFormat="1" applyFont="1" applyFill="1" applyBorder="1" applyAlignment="1">
      <alignment horizontal="center" vertical="center"/>
    </xf>
    <xf numFmtId="165" fontId="6" fillId="19" borderId="1" xfId="0" applyNumberFormat="1" applyFont="1" applyFill="1" applyBorder="1" applyAlignment="1">
      <alignment horizontal="center" vertical="center"/>
    </xf>
    <xf numFmtId="9" fontId="6" fillId="19" borderId="1" xfId="0" applyNumberFormat="1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center"/>
    </xf>
    <xf numFmtId="166" fontId="6" fillId="7" borderId="1" xfId="0" applyNumberFormat="1" applyFont="1" applyFill="1" applyBorder="1" applyAlignment="1">
      <alignment horizontal="center"/>
    </xf>
    <xf numFmtId="4" fontId="6" fillId="7" borderId="1" xfId="0" applyNumberFormat="1" applyFont="1" applyFill="1" applyBorder="1" applyAlignment="1">
      <alignment horizontal="center"/>
    </xf>
    <xf numFmtId="3" fontId="6" fillId="7" borderId="1" xfId="0" applyNumberFormat="1" applyFont="1" applyFill="1" applyBorder="1" applyAlignment="1">
      <alignment horizontal="right"/>
    </xf>
    <xf numFmtId="4" fontId="6" fillId="20" borderId="1" xfId="0" applyNumberFormat="1" applyFont="1" applyFill="1" applyBorder="1" applyAlignment="1">
      <alignment horizontal="right"/>
    </xf>
    <xf numFmtId="0" fontId="2" fillId="21" borderId="1" xfId="0" applyFont="1" applyFill="1" applyBorder="1" applyAlignment="1">
      <alignment horizontal="left" vertical="center"/>
    </xf>
    <xf numFmtId="0" fontId="10" fillId="21" borderId="1" xfId="0" applyFont="1" applyFill="1" applyBorder="1" applyAlignment="1">
      <alignment horizontal="center" vertical="center"/>
    </xf>
    <xf numFmtId="164" fontId="6" fillId="21" borderId="1" xfId="0" applyNumberFormat="1" applyFont="1" applyFill="1" applyBorder="1" applyAlignment="1">
      <alignment horizontal="left" vertical="center" wrapText="1"/>
    </xf>
    <xf numFmtId="164" fontId="6" fillId="21" borderId="17" xfId="0" applyNumberFormat="1" applyFont="1" applyFill="1" applyBorder="1" applyAlignment="1">
      <alignment horizontal="left" vertical="center" wrapText="1"/>
    </xf>
    <xf numFmtId="164" fontId="12" fillId="21" borderId="17" xfId="0" applyNumberFormat="1" applyFont="1" applyFill="1" applyBorder="1" applyAlignment="1">
      <alignment horizontal="left" vertical="center" wrapText="1"/>
    </xf>
    <xf numFmtId="9" fontId="2" fillId="21" borderId="17" xfId="0" applyNumberFormat="1" applyFont="1" applyFill="1" applyBorder="1" applyAlignment="1">
      <alignment horizontal="center" vertical="center" wrapText="1"/>
    </xf>
    <xf numFmtId="164" fontId="6" fillId="21" borderId="18" xfId="0" applyNumberFormat="1" applyFont="1" applyFill="1" applyBorder="1" applyAlignment="1">
      <alignment horizontal="left" vertical="center" wrapText="1"/>
    </xf>
    <xf numFmtId="164" fontId="6" fillId="21" borderId="1" xfId="0" applyNumberFormat="1" applyFont="1" applyFill="1" applyBorder="1" applyAlignment="1">
      <alignment horizontal="center" vertical="center"/>
    </xf>
    <xf numFmtId="2" fontId="2" fillId="21" borderId="1" xfId="0" applyNumberFormat="1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165" fontId="2" fillId="21" borderId="1" xfId="0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/>
    </xf>
    <xf numFmtId="164" fontId="6" fillId="22" borderId="1" xfId="0" applyNumberFormat="1" applyFont="1" applyFill="1" applyBorder="1" applyAlignment="1">
      <alignment horizontal="center" vertical="center"/>
    </xf>
    <xf numFmtId="164" fontId="2" fillId="21" borderId="1" xfId="0" applyNumberFormat="1" applyFont="1" applyFill="1" applyBorder="1" applyAlignment="1">
      <alignment horizontal="center" vertical="center"/>
    </xf>
    <xf numFmtId="165" fontId="6" fillId="21" borderId="1" xfId="0" applyNumberFormat="1" applyFont="1" applyFill="1" applyBorder="1" applyAlignment="1">
      <alignment horizontal="center" vertical="center"/>
    </xf>
    <xf numFmtId="9" fontId="6" fillId="21" borderId="1" xfId="0" applyNumberFormat="1" applyFont="1" applyFill="1" applyBorder="1" applyAlignment="1">
      <alignment horizontal="center" vertical="center"/>
    </xf>
    <xf numFmtId="3" fontId="6" fillId="21" borderId="1" xfId="0" applyNumberFormat="1" applyFont="1" applyFill="1" applyBorder="1" applyAlignment="1">
      <alignment horizontal="center"/>
    </xf>
    <xf numFmtId="166" fontId="6" fillId="21" borderId="1" xfId="0" applyNumberFormat="1" applyFont="1" applyFill="1" applyBorder="1" applyAlignment="1">
      <alignment horizontal="center"/>
    </xf>
    <xf numFmtId="4" fontId="6" fillId="21" borderId="1" xfId="0" applyNumberFormat="1" applyFont="1" applyFill="1" applyBorder="1" applyAlignment="1">
      <alignment horizontal="center"/>
    </xf>
    <xf numFmtId="3" fontId="6" fillId="21" borderId="1" xfId="0" applyNumberFormat="1" applyFont="1" applyFill="1" applyBorder="1" applyAlignment="1">
      <alignment horizontal="right"/>
    </xf>
    <xf numFmtId="4" fontId="6" fillId="15" borderId="1" xfId="0" applyNumberFormat="1" applyFont="1" applyFill="1" applyBorder="1" applyAlignment="1">
      <alignment horizontal="right"/>
    </xf>
    <xf numFmtId="9" fontId="2" fillId="21" borderId="1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9" fontId="2" fillId="3" borderId="0" xfId="0" applyNumberFormat="1" applyFont="1" applyFill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9" fillId="3" borderId="6" xfId="0" applyFont="1" applyFill="1" applyBorder="1"/>
    <xf numFmtId="165" fontId="6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/>
    <xf numFmtId="9" fontId="9" fillId="3" borderId="0" xfId="0" applyNumberFormat="1" applyFont="1" applyFill="1"/>
    <xf numFmtId="0" fontId="9" fillId="0" borderId="16" xfId="0" applyFont="1" applyBorder="1"/>
    <xf numFmtId="0" fontId="13" fillId="0" borderId="0" xfId="0" applyFont="1"/>
    <xf numFmtId="164" fontId="13" fillId="0" borderId="0" xfId="0" applyNumberFormat="1" applyFont="1"/>
    <xf numFmtId="164" fontId="9" fillId="0" borderId="0" xfId="0" applyNumberFormat="1" applyFont="1"/>
    <xf numFmtId="9" fontId="6" fillId="3" borderId="1" xfId="0" applyNumberFormat="1" applyFont="1" applyFill="1" applyBorder="1" applyAlignment="1">
      <alignment horizontal="center" vertical="center"/>
    </xf>
    <xf numFmtId="9" fontId="2" fillId="19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/>
    </xf>
    <xf numFmtId="164" fontId="6" fillId="7" borderId="17" xfId="0" applyNumberFormat="1" applyFont="1" applyFill="1" applyBorder="1" applyAlignment="1">
      <alignment horizontal="left" vertical="center" wrapText="1"/>
    </xf>
    <xf numFmtId="167" fontId="2" fillId="19" borderId="1" xfId="0" applyNumberFormat="1" applyFont="1" applyFill="1" applyBorder="1" applyAlignment="1">
      <alignment horizontal="center" vertical="center"/>
    </xf>
    <xf numFmtId="167" fontId="2" fillId="21" borderId="1" xfId="0" applyNumberFormat="1" applyFont="1" applyFill="1" applyBorder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1" fontId="6" fillId="7" borderId="1" xfId="0" applyNumberFormat="1" applyFont="1" applyFill="1" applyBorder="1" applyAlignment="1">
      <alignment horizontal="center"/>
    </xf>
    <xf numFmtId="1" fontId="6" fillId="22" borderId="1" xfId="0" applyNumberFormat="1" applyFont="1" applyFill="1" applyBorder="1" applyAlignment="1">
      <alignment horizontal="center"/>
    </xf>
    <xf numFmtId="168" fontId="2" fillId="3" borderId="0" xfId="0" applyNumberFormat="1" applyFont="1" applyFill="1" applyAlignment="1">
      <alignment horizontal="center" vertical="center"/>
    </xf>
    <xf numFmtId="164" fontId="2" fillId="3" borderId="15" xfId="0" applyNumberFormat="1" applyFont="1" applyFill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/>
    </xf>
    <xf numFmtId="169" fontId="6" fillId="3" borderId="1" xfId="0" applyNumberFormat="1" applyFont="1" applyFill="1" applyBorder="1" applyAlignment="1">
      <alignment horizontal="center" vertical="center"/>
    </xf>
    <xf numFmtId="164" fontId="2" fillId="19" borderId="18" xfId="0" applyNumberFormat="1" applyFont="1" applyFill="1" applyBorder="1" applyAlignment="1">
      <alignment horizontal="left" vertical="center" wrapText="1"/>
    </xf>
    <xf numFmtId="3" fontId="2" fillId="20" borderId="1" xfId="0" applyNumberFormat="1" applyFont="1" applyFill="1" applyBorder="1" applyAlignment="1">
      <alignment horizontal="right"/>
    </xf>
    <xf numFmtId="164" fontId="2" fillId="21" borderId="21" xfId="0" applyNumberFormat="1" applyFont="1" applyFill="1" applyBorder="1" applyAlignment="1">
      <alignment horizontal="left" vertical="center" wrapText="1"/>
    </xf>
    <xf numFmtId="164" fontId="6" fillId="23" borderId="1" xfId="0" applyNumberFormat="1" applyFont="1" applyFill="1" applyBorder="1" applyAlignment="1">
      <alignment horizontal="left" vertical="center" wrapText="1"/>
    </xf>
    <xf numFmtId="3" fontId="2" fillId="15" borderId="1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4" fontId="2" fillId="11" borderId="1" xfId="0" applyNumberFormat="1" applyFont="1" applyFill="1" applyBorder="1" applyAlignment="1">
      <alignment horizontal="right"/>
    </xf>
    <xf numFmtId="164" fontId="2" fillId="19" borderId="1" xfId="0" applyNumberFormat="1" applyFont="1" applyFill="1" applyBorder="1" applyAlignment="1">
      <alignment horizontal="right"/>
    </xf>
    <xf numFmtId="3" fontId="2" fillId="20" borderId="0" xfId="0" applyNumberFormat="1" applyFont="1" applyFill="1" applyAlignment="1">
      <alignment horizontal="right"/>
    </xf>
    <xf numFmtId="164" fontId="2" fillId="21" borderId="1" xfId="0" applyNumberFormat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70" fontId="6" fillId="3" borderId="1" xfId="0" applyNumberFormat="1" applyFont="1" applyFill="1" applyBorder="1" applyAlignment="1">
      <alignment horizontal="center" vertical="center"/>
    </xf>
    <xf numFmtId="4" fontId="2" fillId="20" borderId="1" xfId="0" applyNumberFormat="1" applyFont="1" applyFill="1" applyBorder="1" applyAlignment="1">
      <alignment horizontal="right"/>
    </xf>
    <xf numFmtId="170" fontId="6" fillId="19" borderId="1" xfId="0" applyNumberFormat="1" applyFont="1" applyFill="1" applyBorder="1" applyAlignment="1">
      <alignment horizontal="center" vertical="center"/>
    </xf>
    <xf numFmtId="4" fontId="2" fillId="15" borderId="1" xfId="0" applyNumberFormat="1" applyFont="1" applyFill="1" applyBorder="1" applyAlignment="1">
      <alignment horizontal="right"/>
    </xf>
    <xf numFmtId="170" fontId="6" fillId="2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7" fillId="0" borderId="0" xfId="0" applyFont="1" applyAlignment="1"/>
    <xf numFmtId="0" fontId="6" fillId="5" borderId="2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8" borderId="1" xfId="0" applyFont="1" applyFill="1" applyBorder="1" applyAlignment="1">
      <alignment horizontal="center" wrapText="1"/>
    </xf>
    <xf numFmtId="0" fontId="8" fillId="0" borderId="0" xfId="0" applyFont="1" applyAlignment="1"/>
    <xf numFmtId="0" fontId="6" fillId="9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164" fontId="6" fillId="12" borderId="1" xfId="0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 wrapText="1"/>
    </xf>
    <xf numFmtId="0" fontId="6" fillId="13" borderId="1" xfId="0" applyFont="1" applyFill="1" applyBorder="1" applyAlignment="1">
      <alignment wrapText="1"/>
    </xf>
    <xf numFmtId="0" fontId="6" fillId="14" borderId="1" xfId="0" applyFont="1" applyFill="1" applyBorder="1" applyAlignment="1">
      <alignment wrapText="1"/>
    </xf>
    <xf numFmtId="0" fontId="6" fillId="14" borderId="2" xfId="0" applyFont="1" applyFill="1" applyBorder="1" applyAlignment="1">
      <alignment wrapText="1"/>
    </xf>
    <xf numFmtId="0" fontId="6" fillId="14" borderId="5" xfId="0" applyFont="1" applyFill="1" applyBorder="1" applyAlignment="1">
      <alignment wrapText="1"/>
    </xf>
    <xf numFmtId="0" fontId="6" fillId="14" borderId="6" xfId="0" applyFont="1" applyFill="1" applyBorder="1" applyAlignment="1">
      <alignment horizontal="left" wrapText="1" readingOrder="1"/>
    </xf>
    <xf numFmtId="0" fontId="6" fillId="15" borderId="7" xfId="0" applyFont="1" applyFill="1" applyBorder="1" applyAlignment="1">
      <alignment horizontal="left" wrapText="1" readingOrder="1"/>
    </xf>
    <xf numFmtId="0" fontId="6" fillId="16" borderId="4" xfId="0" applyFont="1" applyFill="1" applyBorder="1" applyAlignment="1">
      <alignment wrapText="1"/>
    </xf>
    <xf numFmtId="0" fontId="6" fillId="16" borderId="1" xfId="0" applyFont="1" applyFill="1" applyBorder="1" applyAlignment="1">
      <alignment wrapText="1"/>
    </xf>
    <xf numFmtId="0" fontId="6" fillId="16" borderId="2" xfId="0" applyFont="1" applyFill="1" applyBorder="1" applyAlignment="1">
      <alignment wrapText="1"/>
    </xf>
    <xf numFmtId="0" fontId="6" fillId="16" borderId="8" xfId="0" applyFont="1" applyFill="1" applyBorder="1" applyAlignment="1">
      <alignment wrapText="1"/>
    </xf>
    <xf numFmtId="0" fontId="6" fillId="16" borderId="6" xfId="0" applyFont="1" applyFill="1" applyBorder="1" applyAlignment="1">
      <alignment horizontal="left" wrapText="1" readingOrder="1"/>
    </xf>
    <xf numFmtId="0" fontId="6" fillId="17" borderId="4" xfId="0" applyFont="1" applyFill="1" applyBorder="1" applyAlignment="1">
      <alignment wrapText="1"/>
    </xf>
    <xf numFmtId="0" fontId="6" fillId="17" borderId="1" xfId="0" applyFont="1" applyFill="1" applyBorder="1" applyAlignment="1">
      <alignment wrapText="1"/>
    </xf>
    <xf numFmtId="0" fontId="6" fillId="17" borderId="2" xfId="0" applyFont="1" applyFill="1" applyBorder="1" applyAlignment="1">
      <alignment wrapText="1"/>
    </xf>
    <xf numFmtId="0" fontId="6" fillId="17" borderId="9" xfId="0" applyFont="1" applyFill="1" applyBorder="1" applyAlignment="1">
      <alignment wrapText="1"/>
    </xf>
    <xf numFmtId="0" fontId="6" fillId="17" borderId="6" xfId="0" applyFont="1" applyFill="1" applyBorder="1" applyAlignment="1">
      <alignment horizontal="left" wrapText="1" readingOrder="1"/>
    </xf>
    <xf numFmtId="0" fontId="6" fillId="18" borderId="4" xfId="0" applyFont="1" applyFill="1" applyBorder="1" applyAlignment="1">
      <alignment wrapText="1"/>
    </xf>
    <xf numFmtId="0" fontId="6" fillId="14" borderId="1" xfId="0" applyFont="1" applyFill="1" applyBorder="1" applyAlignment="1">
      <alignment horizontal="left" wrapText="1" readingOrder="1"/>
    </xf>
    <xf numFmtId="0" fontId="6" fillId="16" borderId="1" xfId="0" applyFont="1" applyFill="1" applyBorder="1" applyAlignment="1">
      <alignment horizontal="left" wrapText="1" readingOrder="1"/>
    </xf>
    <xf numFmtId="0" fontId="6" fillId="17" borderId="1" xfId="0" applyFont="1" applyFill="1" applyBorder="1" applyAlignment="1">
      <alignment horizontal="left" wrapText="1" readingOrder="1"/>
    </xf>
    <xf numFmtId="0" fontId="6" fillId="18" borderId="1" xfId="0" applyFont="1" applyFill="1" applyBorder="1" applyAlignment="1">
      <alignment wrapText="1"/>
    </xf>
    <xf numFmtId="0" fontId="9" fillId="0" borderId="0" xfId="0" applyFont="1" applyAlignment="1"/>
    <xf numFmtId="0" fontId="0" fillId="0" borderId="0" xfId="0" applyAlignment="1"/>
    <xf numFmtId="0" fontId="11" fillId="0" borderId="16" xfId="0" applyFont="1" applyBorder="1" applyAlignment="1"/>
    <xf numFmtId="0" fontId="11" fillId="0" borderId="18" xfId="0" applyFont="1" applyBorder="1" applyAlignment="1"/>
    <xf numFmtId="0" fontId="11" fillId="0" borderId="0" xfId="0" applyFont="1" applyAlignment="1"/>
    <xf numFmtId="0" fontId="11" fillId="0" borderId="17" xfId="0" applyFont="1" applyBorder="1" applyAlignment="1"/>
    <xf numFmtId="0" fontId="11" fillId="0" borderId="13" xfId="0" applyFont="1" applyBorder="1" applyAlignment="1"/>
    <xf numFmtId="0" fontId="11" fillId="0" borderId="19" xfId="0" applyFont="1" applyBorder="1" applyAlignment="1"/>
    <xf numFmtId="0" fontId="11" fillId="0" borderId="20" xfId="0" applyFont="1" applyBorder="1" applyAlignment="1"/>
    <xf numFmtId="0" fontId="11" fillId="0" borderId="21" xfId="0" applyFont="1" applyBorder="1" applyAlignment="1"/>
    <xf numFmtId="0" fontId="11" fillId="0" borderId="22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-LCA_FD3_Bilanzierungstool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 - Flächen"/>
    </sheetNames>
    <sheetDataSet>
      <sheetData sheetId="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10</v>
    <v>2</v>
  </rv>
  <rv s="1">
    <v>10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21"/>
  <sheetViews>
    <sheetView tabSelected="1" workbookViewId="0">
      <selection sqref="A1:XFD1"/>
    </sheetView>
  </sheetViews>
  <sheetFormatPr defaultRowHeight="15"/>
  <sheetData>
    <row r="1" spans="1:140" s="175" customFormat="1" ht="81">
      <c r="A1" s="137" t="s">
        <v>0</v>
      </c>
      <c r="B1" s="137" t="s">
        <v>1</v>
      </c>
      <c r="C1" s="137" t="s">
        <v>2</v>
      </c>
      <c r="D1" s="137" t="s">
        <v>3</v>
      </c>
      <c r="E1" s="137" t="s">
        <v>4</v>
      </c>
      <c r="F1" s="1"/>
      <c r="G1" s="138" t="s">
        <v>5</v>
      </c>
      <c r="H1" s="138" t="s">
        <v>6</v>
      </c>
      <c r="I1" s="138" t="s">
        <v>7</v>
      </c>
      <c r="J1" s="138" t="s">
        <v>8</v>
      </c>
      <c r="K1" s="138" t="s">
        <v>9</v>
      </c>
      <c r="L1" s="138" t="s">
        <v>10</v>
      </c>
      <c r="M1" s="138" t="s">
        <v>11</v>
      </c>
      <c r="N1" s="138" t="s">
        <v>12</v>
      </c>
      <c r="O1" s="138" t="s">
        <v>13</v>
      </c>
      <c r="P1" s="138" t="s">
        <v>14</v>
      </c>
      <c r="Q1" s="138" t="s">
        <v>15</v>
      </c>
      <c r="R1" s="138" t="s">
        <v>16</v>
      </c>
      <c r="S1" s="139" t="s">
        <v>17</v>
      </c>
      <c r="T1" s="2"/>
      <c r="U1" s="140" t="s">
        <v>18</v>
      </c>
      <c r="V1" s="140" t="s">
        <v>19</v>
      </c>
      <c r="W1" s="140" t="s">
        <v>20</v>
      </c>
      <c r="X1" s="141"/>
      <c r="Y1" s="140" t="s">
        <v>21</v>
      </c>
      <c r="Z1" s="140" t="s">
        <v>22</v>
      </c>
      <c r="AA1" s="140" t="s">
        <v>23</v>
      </c>
      <c r="AB1" s="142" t="s">
        <v>24</v>
      </c>
      <c r="AC1" s="143" t="s">
        <v>25</v>
      </c>
      <c r="AD1" s="144" t="s">
        <v>26</v>
      </c>
      <c r="AE1" s="140" t="s">
        <v>27</v>
      </c>
      <c r="AF1" s="140" t="s">
        <v>28</v>
      </c>
      <c r="AG1" s="4"/>
      <c r="AH1" s="140" t="s">
        <v>29</v>
      </c>
      <c r="AI1" s="140" t="s">
        <v>30</v>
      </c>
      <c r="AJ1" s="140" t="s">
        <v>31</v>
      </c>
      <c r="AK1" s="140" t="s">
        <v>32</v>
      </c>
      <c r="AL1" s="140" t="s">
        <v>33</v>
      </c>
      <c r="AM1" s="140" t="s">
        <v>34</v>
      </c>
      <c r="AN1" s="141"/>
      <c r="AO1" s="145" t="s">
        <v>35</v>
      </c>
      <c r="AP1" s="145" t="s">
        <v>36</v>
      </c>
      <c r="AQ1" s="145" t="s">
        <v>37</v>
      </c>
      <c r="AR1" s="146"/>
      <c r="AS1" s="147" t="s">
        <v>38</v>
      </c>
      <c r="AT1" s="148"/>
      <c r="AU1" s="149" t="s">
        <v>39</v>
      </c>
      <c r="AV1" s="149" t="s">
        <v>40</v>
      </c>
      <c r="AW1" s="149" t="s">
        <v>41</v>
      </c>
      <c r="AX1" s="149" t="s">
        <v>42</v>
      </c>
      <c r="AY1" s="149" t="s">
        <v>43</v>
      </c>
      <c r="AZ1" s="149" t="s">
        <v>44</v>
      </c>
      <c r="BA1" s="149" t="s">
        <v>45</v>
      </c>
      <c r="BB1" s="141"/>
      <c r="BC1" s="150" t="s">
        <v>46</v>
      </c>
      <c r="BD1" s="150" t="s">
        <v>47</v>
      </c>
      <c r="BE1" s="150" t="s">
        <v>48</v>
      </c>
      <c r="BF1" s="150" t="s">
        <v>49</v>
      </c>
      <c r="BG1" s="150" t="s">
        <v>50</v>
      </c>
      <c r="BH1" s="150" t="s">
        <v>51</v>
      </c>
      <c r="BI1" s="150" t="s">
        <v>52</v>
      </c>
      <c r="BJ1" s="150" t="s">
        <v>53</v>
      </c>
      <c r="BK1" s="150" t="s">
        <v>54</v>
      </c>
      <c r="BL1" s="150" t="s">
        <v>55</v>
      </c>
      <c r="BM1" s="150" t="s">
        <v>56</v>
      </c>
      <c r="BN1" s="150" t="s">
        <v>57</v>
      </c>
      <c r="BO1" s="150" t="s">
        <v>58</v>
      </c>
      <c r="BP1" s="150" t="s">
        <v>59</v>
      </c>
      <c r="BQ1" s="150" t="s">
        <v>60</v>
      </c>
      <c r="BR1" s="150" t="s">
        <v>61</v>
      </c>
      <c r="BS1" s="37"/>
      <c r="BT1" s="151" t="s">
        <v>62</v>
      </c>
      <c r="BU1" s="151" t="s">
        <v>63</v>
      </c>
      <c r="BV1" s="152" t="s">
        <v>64</v>
      </c>
      <c r="BW1" s="152" t="s">
        <v>65</v>
      </c>
      <c r="BX1" s="152"/>
      <c r="BY1" s="152" t="s">
        <v>66</v>
      </c>
      <c r="BZ1" s="146"/>
      <c r="CA1" s="153" t="s">
        <v>67</v>
      </c>
      <c r="CB1" s="154" t="s">
        <v>68</v>
      </c>
      <c r="CC1" s="154" t="s">
        <v>69</v>
      </c>
      <c r="CD1" s="155" t="s">
        <v>70</v>
      </c>
      <c r="CE1" s="156" t="s">
        <v>71</v>
      </c>
      <c r="CF1" s="157" t="s">
        <v>72</v>
      </c>
      <c r="CG1" s="158" t="s">
        <v>73</v>
      </c>
      <c r="CH1" s="159" t="s">
        <v>68</v>
      </c>
      <c r="CI1" s="160" t="s">
        <v>69</v>
      </c>
      <c r="CJ1" s="161" t="s">
        <v>70</v>
      </c>
      <c r="CK1" s="162" t="s">
        <v>71</v>
      </c>
      <c r="CL1" s="163" t="s">
        <v>72</v>
      </c>
      <c r="CM1" s="158" t="s">
        <v>73</v>
      </c>
      <c r="CN1" s="164" t="s">
        <v>68</v>
      </c>
      <c r="CO1" s="165" t="s">
        <v>69</v>
      </c>
      <c r="CP1" s="166" t="s">
        <v>70</v>
      </c>
      <c r="CQ1" s="167" t="s">
        <v>71</v>
      </c>
      <c r="CR1" s="168" t="s">
        <v>72</v>
      </c>
      <c r="CS1" s="158" t="s">
        <v>73</v>
      </c>
      <c r="CT1" s="169" t="s">
        <v>74</v>
      </c>
      <c r="CU1" s="146"/>
      <c r="CV1" s="153" t="s">
        <v>67</v>
      </c>
      <c r="CW1" s="154" t="s">
        <v>68</v>
      </c>
      <c r="CX1" s="154" t="s">
        <v>69</v>
      </c>
      <c r="CY1" s="154" t="s">
        <v>70</v>
      </c>
      <c r="CZ1" s="156" t="s">
        <v>71</v>
      </c>
      <c r="DA1" s="170" t="s">
        <v>72</v>
      </c>
      <c r="DB1" s="158" t="s">
        <v>73</v>
      </c>
      <c r="DC1" s="160" t="s">
        <v>68</v>
      </c>
      <c r="DD1" s="160" t="s">
        <v>69</v>
      </c>
      <c r="DE1" s="160" t="s">
        <v>70</v>
      </c>
      <c r="DF1" s="162" t="s">
        <v>71</v>
      </c>
      <c r="DG1" s="171" t="s">
        <v>72</v>
      </c>
      <c r="DH1" s="158" t="s">
        <v>73</v>
      </c>
      <c r="DI1" s="165" t="s">
        <v>68</v>
      </c>
      <c r="DJ1" s="165" t="s">
        <v>69</v>
      </c>
      <c r="DK1" s="165" t="s">
        <v>70</v>
      </c>
      <c r="DL1" s="167" t="s">
        <v>71</v>
      </c>
      <c r="DM1" s="172" t="s">
        <v>72</v>
      </c>
      <c r="DN1" s="158" t="s">
        <v>73</v>
      </c>
      <c r="DO1" s="173" t="s">
        <v>74</v>
      </c>
      <c r="DP1" s="174"/>
      <c r="DQ1" s="153" t="s">
        <v>67</v>
      </c>
      <c r="DR1" s="154" t="s">
        <v>68</v>
      </c>
      <c r="DS1" s="154" t="s">
        <v>69</v>
      </c>
      <c r="DT1" s="154" t="s">
        <v>70</v>
      </c>
      <c r="DU1" s="156" t="s">
        <v>71</v>
      </c>
      <c r="DV1" s="170" t="s">
        <v>72</v>
      </c>
      <c r="DW1" s="158" t="s">
        <v>73</v>
      </c>
      <c r="DX1" s="160" t="s">
        <v>68</v>
      </c>
      <c r="DY1" s="160" t="s">
        <v>69</v>
      </c>
      <c r="DZ1" s="160" t="s">
        <v>70</v>
      </c>
      <c r="EA1" s="162" t="s">
        <v>71</v>
      </c>
      <c r="EB1" s="171" t="s">
        <v>72</v>
      </c>
      <c r="EC1" s="158" t="s">
        <v>73</v>
      </c>
      <c r="ED1" s="165" t="s">
        <v>68</v>
      </c>
      <c r="EE1" s="165" t="s">
        <v>69</v>
      </c>
      <c r="EF1" s="165" t="s">
        <v>70</v>
      </c>
      <c r="EG1" s="167" t="s">
        <v>71</v>
      </c>
      <c r="EH1" s="172" t="s">
        <v>72</v>
      </c>
      <c r="EI1" s="158" t="s">
        <v>73</v>
      </c>
      <c r="EJ1" s="173" t="s">
        <v>74</v>
      </c>
    </row>
    <row r="2" spans="1:140">
      <c r="A2" s="8"/>
      <c r="B2" s="8"/>
      <c r="C2" s="8"/>
      <c r="D2" s="8"/>
      <c r="E2" s="8"/>
      <c r="F2" s="1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10"/>
      <c r="U2" s="5"/>
      <c r="V2" s="5"/>
      <c r="W2" s="5"/>
      <c r="X2" s="11"/>
      <c r="Y2" s="5"/>
      <c r="Z2" s="5"/>
      <c r="AA2" s="5"/>
      <c r="AB2" s="5"/>
      <c r="AC2" s="5"/>
      <c r="AD2" s="5"/>
      <c r="AE2" s="5"/>
      <c r="AF2" s="5"/>
      <c r="AG2" s="4"/>
      <c r="AH2" s="5"/>
      <c r="AI2" s="5"/>
      <c r="AJ2" s="5"/>
      <c r="AK2" s="5"/>
      <c r="AL2" s="5"/>
      <c r="AM2" s="5"/>
      <c r="AN2" s="11"/>
      <c r="AO2" s="5"/>
      <c r="AP2" s="11"/>
      <c r="AQ2" s="5"/>
      <c r="AR2" s="5"/>
      <c r="AS2" s="5"/>
      <c r="AT2" s="3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11"/>
      <c r="CA2" s="12"/>
      <c r="CB2" s="12"/>
      <c r="CC2" s="13"/>
      <c r="CD2" s="13"/>
      <c r="CE2" s="13"/>
      <c r="CF2" s="13"/>
      <c r="CG2" s="13"/>
      <c r="CH2" s="13"/>
      <c r="CI2" s="13"/>
      <c r="CJ2" s="13"/>
      <c r="CK2" s="14"/>
      <c r="CL2" s="14"/>
      <c r="CM2" s="15"/>
      <c r="CN2" s="15"/>
      <c r="CO2" s="16"/>
      <c r="CP2" s="13"/>
      <c r="CQ2" s="13"/>
      <c r="CR2" s="13"/>
      <c r="CS2" s="17"/>
      <c r="CT2" s="17"/>
      <c r="CU2" s="11"/>
      <c r="CV2" s="12"/>
      <c r="CW2" s="12"/>
      <c r="CX2" s="13"/>
      <c r="CY2" s="13"/>
      <c r="CZ2" s="13"/>
      <c r="DA2" s="13"/>
      <c r="DB2" s="13"/>
      <c r="DC2" s="13"/>
      <c r="DD2" s="13"/>
      <c r="DE2" s="13"/>
      <c r="DF2" s="14"/>
      <c r="DG2" s="14"/>
      <c r="DH2" s="15"/>
      <c r="DI2" s="15"/>
      <c r="DJ2" s="16"/>
      <c r="DK2" s="13"/>
      <c r="DL2" s="13"/>
      <c r="DM2" s="13"/>
      <c r="DN2" s="17"/>
      <c r="DO2" s="17"/>
      <c r="DP2" s="7"/>
      <c r="DQ2" s="12"/>
      <c r="DR2" s="12"/>
      <c r="DS2" s="13"/>
      <c r="DT2" s="13"/>
      <c r="DU2" s="13"/>
      <c r="DV2" s="13"/>
      <c r="DW2" s="13"/>
      <c r="DX2" s="13"/>
      <c r="DY2" s="13"/>
      <c r="DZ2" s="13"/>
      <c r="EA2" s="14"/>
      <c r="EB2" s="14"/>
      <c r="EC2" s="15"/>
      <c r="ED2" s="15"/>
      <c r="EE2" s="16"/>
      <c r="EF2" s="13"/>
      <c r="EG2" s="13"/>
      <c r="EH2" s="13"/>
      <c r="EI2" s="17"/>
      <c r="EJ2" s="17"/>
    </row>
    <row r="3" spans="1:140">
      <c r="A3" s="18" t="str">
        <f t="shared" ref="A3:A121" si="0">LEFT(C3,1)&amp;LEFT(D3,1)&amp;LEFT(E3,2)</f>
        <v>EgKr</v>
      </c>
      <c r="B3" s="19">
        <v>1</v>
      </c>
      <c r="C3" s="18" t="s">
        <v>75</v>
      </c>
      <c r="D3" s="18" t="s">
        <v>76</v>
      </c>
      <c r="E3" s="18" t="s">
        <v>77</v>
      </c>
      <c r="F3" s="20"/>
      <c r="G3" s="21">
        <v>10000</v>
      </c>
      <c r="H3" s="21">
        <v>7225</v>
      </c>
      <c r="I3" s="21">
        <v>1164</v>
      </c>
      <c r="J3" s="21">
        <v>931</v>
      </c>
      <c r="K3" s="21">
        <v>680</v>
      </c>
      <c r="L3" s="21">
        <v>977</v>
      </c>
      <c r="M3" s="22">
        <f>15*AY3</f>
        <v>150</v>
      </c>
      <c r="N3" s="23">
        <f t="shared" ref="N3:N11" si="1">(L3+M3)/G3</f>
        <v>0.11269999999999999</v>
      </c>
      <c r="O3" s="24"/>
      <c r="P3" s="176"/>
      <c r="Q3" s="21">
        <f t="shared" ref="Q3:Q11" si="2">L3*0.5</f>
        <v>488.5</v>
      </c>
      <c r="R3" s="21">
        <f t="shared" ref="R3:R11" si="3">Q3*0.8</f>
        <v>390.8</v>
      </c>
      <c r="S3" s="21">
        <f t="shared" ref="S3:S121" si="4">Q3*3</f>
        <v>1465.5</v>
      </c>
      <c r="T3" s="25"/>
      <c r="U3" s="26">
        <f t="shared" ref="U3:U11" si="5">L3+M3</f>
        <v>1127</v>
      </c>
      <c r="V3" s="27">
        <f t="shared" ref="V3:V11" si="6">U3/G3</f>
        <v>0.11269999999999999</v>
      </c>
      <c r="W3" s="27">
        <f t="shared" ref="W3:W11" si="7">Z3/G3</f>
        <v>0.16155</v>
      </c>
      <c r="X3" s="28"/>
      <c r="Y3" s="29">
        <v>1.5</v>
      </c>
      <c r="Z3" s="26">
        <f t="shared" ref="Z3:Z11" si="8">(L3*Y3)+M3</f>
        <v>1615.5</v>
      </c>
      <c r="AA3" s="26">
        <f t="shared" ref="AA3:AA11" si="9">Z3*0.8</f>
        <v>1292.4000000000001</v>
      </c>
      <c r="AB3" s="26">
        <f t="shared" ref="AB3:AB11" si="10">(L3*Y3)+BH3</f>
        <v>1954</v>
      </c>
      <c r="AC3" s="26">
        <f t="shared" ref="AC3:AC11" si="11">AB3*(1-0.2)</f>
        <v>1563.2</v>
      </c>
      <c r="AD3" s="26">
        <f t="shared" ref="AD3:AD11" si="12">((L3*Y3)*0.8)</f>
        <v>1172.4000000000001</v>
      </c>
      <c r="AE3" s="26">
        <f t="shared" ref="AE3:AE21" si="13">2.5*AY3</f>
        <v>25</v>
      </c>
      <c r="AF3" s="26">
        <f>AC3-AE3</f>
        <v>1538.2</v>
      </c>
      <c r="AG3" s="30"/>
      <c r="AH3" s="26">
        <f t="shared" ref="AH3:AH81" si="14">L3</f>
        <v>977</v>
      </c>
      <c r="AI3" s="26">
        <f>135.7*10</f>
        <v>1357</v>
      </c>
      <c r="AJ3" s="26">
        <f>160.5*10</f>
        <v>1605</v>
      </c>
      <c r="AK3" s="26">
        <f t="shared" ref="AK3:AK11" si="15">SUM(AH3:AJ3)</f>
        <v>3939</v>
      </c>
      <c r="AL3" s="26">
        <f>511.9*10</f>
        <v>5119</v>
      </c>
      <c r="AM3" s="31">
        <f t="shared" ref="AM3:AM11" si="16">AK3/AL3</f>
        <v>0.76948622777886311</v>
      </c>
      <c r="AN3" s="32"/>
      <c r="AO3" s="21">
        <v>200</v>
      </c>
      <c r="AP3" s="33">
        <v>125</v>
      </c>
      <c r="AQ3" s="26">
        <f t="shared" ref="AQ3:AQ11" si="17">AO3+AP3</f>
        <v>325</v>
      </c>
      <c r="AR3" s="34"/>
      <c r="AS3" s="26">
        <v>10</v>
      </c>
      <c r="AT3" s="6"/>
      <c r="AU3" s="26">
        <v>51</v>
      </c>
      <c r="AV3" s="26">
        <v>157</v>
      </c>
      <c r="AW3" s="26">
        <v>196</v>
      </c>
      <c r="AX3" s="35">
        <f t="shared" ref="AX3:AX11" si="18">AD3/AU3</f>
        <v>22.988235294117647</v>
      </c>
      <c r="AY3" s="35">
        <f t="shared" ref="AY3:AY11" si="19">AS3</f>
        <v>10</v>
      </c>
      <c r="AZ3" s="35">
        <f t="shared" ref="AZ3:AZ11" si="20">I3/AX3</f>
        <v>50.634595701125896</v>
      </c>
      <c r="BA3" s="35">
        <f t="shared" ref="BA3:BA11" si="21">I3/AY3</f>
        <v>116.4</v>
      </c>
      <c r="BB3" s="3"/>
      <c r="BC3" s="36" t="s">
        <v>78</v>
      </c>
      <c r="BD3" s="26">
        <f t="shared" ref="BD3:BD11" si="22">AH3</f>
        <v>977</v>
      </c>
      <c r="BE3" s="37">
        <f t="shared" ref="BE3:BE11" si="23">(AC3-(2*BQ3)-R3)</f>
        <v>1152.4000000000001</v>
      </c>
      <c r="BF3" s="37" t="e" vm="1">
        <f>'[1]4 - Flächen'!AJ3</f>
        <v>#VALUE!</v>
      </c>
      <c r="BG3" s="26" t="e" vm="2">
        <f t="shared" ref="BG3:BG11" si="24">BF3-BL3-((2.2*1.1)*BJ3)</f>
        <v>#VALUE!</v>
      </c>
      <c r="BH3" s="26">
        <f t="shared" ref="BH3:BH11" si="25">Q3</f>
        <v>488.5</v>
      </c>
      <c r="BI3" s="37" t="e" vm="2">
        <f t="shared" ref="BI3:BI11" si="26">(BF3/Y3)*0.5</f>
        <v>#VALUE!</v>
      </c>
      <c r="BJ3" s="38">
        <f t="shared" ref="BJ3:BJ12" si="27">AS3+AY3</f>
        <v>20</v>
      </c>
      <c r="BK3" s="39">
        <v>0.2</v>
      </c>
      <c r="BL3" s="26">
        <f t="shared" ref="BL3:BL11" si="28">AD3*BK3</f>
        <v>234.48000000000002</v>
      </c>
      <c r="BM3" s="26">
        <f t="shared" ref="BM3:BM11" si="29">(44-(4*2))*AY3</f>
        <v>360</v>
      </c>
      <c r="BN3" s="26">
        <f t="shared" ref="BN3:BN11" si="30">(84.4-(4*2))*AY3</f>
        <v>764</v>
      </c>
      <c r="BO3" s="26">
        <f t="shared" ref="BO3:BO11" si="31">8*AY3</f>
        <v>80</v>
      </c>
      <c r="BP3" s="37" cm="1">
        <f t="array" ref="BP3">BE3 - _xlfn.IFS(
    _xlfn.XOR(Y3 &lt; 2.5, Y3 = 2.5), 0.5 * AH3,
    _xlfn.XOR(Y3 &lt; 2.5, Y3 = 2.5) = FALSE, 0
)</f>
        <v>663.90000000000009</v>
      </c>
      <c r="BQ3" s="37">
        <f t="shared" ref="BQ3:BQ11" si="32">(Y3-0.5)*AS3</f>
        <v>10</v>
      </c>
      <c r="BR3" s="37" t="e" vm="1">
        <f>'[1]4 - Flächen'!AI3</f>
        <v>#VALUE!</v>
      </c>
      <c r="BS3" s="26"/>
      <c r="BT3" s="37">
        <f t="shared" ref="BT3:BT11" si="33">0.3*AD3</f>
        <v>351.72</v>
      </c>
      <c r="BU3" s="37">
        <f t="shared" ref="BU3:BU11" si="34">5.87*AD3</f>
        <v>6881.9880000000003</v>
      </c>
      <c r="BV3" s="37">
        <f t="shared" ref="BV3:BV11" si="35">57*AY3</f>
        <v>570</v>
      </c>
      <c r="BW3" s="37">
        <f t="shared" ref="BW3:BW11" si="36">28*AY3</f>
        <v>280</v>
      </c>
      <c r="BX3" s="26"/>
      <c r="BY3" s="26">
        <f t="shared" ref="BY3:BY11" si="37">IF(Y3&gt;3,AS3,0)</f>
        <v>0</v>
      </c>
      <c r="BZ3" s="30"/>
      <c r="CA3" s="40">
        <f t="shared" ref="CA3:CA11" si="38">(34.4*365*$AD3)/1000</f>
        <v>14720.654400000001</v>
      </c>
      <c r="CB3" s="40">
        <v>15</v>
      </c>
      <c r="CC3" s="40">
        <f t="shared" ref="CC3:CC11" si="39">$AD3*CB3+($CB3)</f>
        <v>17601</v>
      </c>
      <c r="CD3" s="41">
        <f t="shared" ref="CD3:CD11" si="40">((CC3-$CB3)/1900)+($CB3/8760)</f>
        <v>9.2575018024513334</v>
      </c>
      <c r="CE3" s="42">
        <f t="shared" ref="CE3:CE11" si="41">((380*$CG3)/1000)/$AD3</f>
        <v>0.25699455991733333</v>
      </c>
      <c r="CF3" s="40" t="e">
        <f t="shared" ref="CF3:CF11" si="42">$CD3/$CU3</f>
        <v>#DIV/0!</v>
      </c>
      <c r="CG3" s="40">
        <f>0.5072261051*AC3</f>
        <v>792.89584749232006</v>
      </c>
      <c r="CH3" s="43">
        <v>30</v>
      </c>
      <c r="CI3" s="40">
        <f t="shared" ref="CI3:CI11" si="43">$AD3*CH3+($CB3)</f>
        <v>35187</v>
      </c>
      <c r="CJ3" s="41">
        <f t="shared" ref="CJ3:CJ11" si="44">((CI3-$CB3)/1900)+($CB3/8760)</f>
        <v>18.513291276135543</v>
      </c>
      <c r="CK3" s="42">
        <f t="shared" ref="CK3:CK11" si="45">((380*$CM3)/1000)/$AD3</f>
        <v>0.26872788755733334</v>
      </c>
      <c r="CL3" s="40" t="e">
        <f t="shared" ref="CL3:CL11" si="46">$CJ3/$CU3</f>
        <v>#DIV/0!</v>
      </c>
      <c r="CM3" s="40">
        <f>0.5303839886*AC3</f>
        <v>829.09625097952005</v>
      </c>
      <c r="CN3" s="43">
        <v>70</v>
      </c>
      <c r="CO3" s="40">
        <f t="shared" ref="CO3:CO11" si="47">$AD3*CN3+($CB3)</f>
        <v>82083</v>
      </c>
      <c r="CP3" s="41">
        <f t="shared" ref="CP3:CP11" si="48">((CO3-$CB3)/1900)+($CB3/8760)</f>
        <v>43.195396539293441</v>
      </c>
      <c r="CQ3" s="42">
        <f t="shared" ref="CQ3:CQ11" si="49">((380*$CS3)/1000)/$AD3</f>
        <v>0.32571065891466666</v>
      </c>
      <c r="CR3" s="40" t="e">
        <f t="shared" ref="CR3:CR11" si="50">$CP3/$CU3</f>
        <v>#DIV/0!</v>
      </c>
      <c r="CS3" s="40">
        <f>0.6428499847*AC3</f>
        <v>1004.9030960830401</v>
      </c>
      <c r="CT3" s="44">
        <v>3.05</v>
      </c>
      <c r="CU3" s="30"/>
      <c r="CV3" s="40">
        <f t="shared" ref="CV3:CV11" si="51">(34.4*365*$AD3)/1000</f>
        <v>14720.654400000001</v>
      </c>
      <c r="CW3" s="40">
        <v>15</v>
      </c>
      <c r="CX3" s="40">
        <f t="shared" ref="CX3:CX11" si="52">$AD3*CW3+($CW3)</f>
        <v>17601</v>
      </c>
      <c r="CY3" s="41">
        <f t="shared" ref="CY3:CY11" si="53">((CX3-$CW3)/1900)+($CW3/8760)</f>
        <v>9.2575018024513334</v>
      </c>
      <c r="CZ3" s="42">
        <f t="shared" ref="CZ3:CZ11" si="54">((380*$DB3)/1000)/$AD3</f>
        <v>3.3549527282453329</v>
      </c>
      <c r="DA3" s="40" t="e">
        <f t="shared" ref="DA3:DA11" si="55">$CY3/$DP3</f>
        <v>#DIV/0!</v>
      </c>
      <c r="DB3" s="40">
        <f>6.6216172268*AC3</f>
        <v>10350.91204893376</v>
      </c>
      <c r="DC3" s="43">
        <v>30</v>
      </c>
      <c r="DD3" s="40">
        <f t="shared" ref="DD3:DD11" si="56">$AD3*DC3+($CW3)</f>
        <v>35187</v>
      </c>
      <c r="DE3" s="41">
        <f t="shared" ref="DE3:DE11" si="57">((DD3-$CW3)/1900)+($CW3/8760)</f>
        <v>18.513291276135543</v>
      </c>
      <c r="DF3" s="42">
        <f t="shared" ref="DF3:DF11" si="58">((380*$DH3)/1000)/$AD3</f>
        <v>3.3798362533493331</v>
      </c>
      <c r="DG3" s="40" t="e">
        <f t="shared" ref="DG3:DG11" si="59">$DE3/$DP3</f>
        <v>#DIV/0!</v>
      </c>
      <c r="DH3" s="40">
        <f>6.6707294474*AC3</f>
        <v>10427.68427217568</v>
      </c>
      <c r="DI3" s="43">
        <v>70</v>
      </c>
      <c r="DJ3" s="40">
        <f t="shared" ref="DJ3:DJ11" si="60">$AD3*DI3+($CW3)</f>
        <v>82083</v>
      </c>
      <c r="DK3" s="41">
        <f t="shared" ref="DK3:DK11" si="61">((DJ3-$CW3)/1900)+($CW3/8760)</f>
        <v>43.195396539293441</v>
      </c>
      <c r="DL3" s="42">
        <f t="shared" ref="DL3:DL11" si="62">((380*$DN3)/1000)/$AD3</f>
        <v>3.4719931300826667</v>
      </c>
      <c r="DM3" s="40" t="e">
        <f t="shared" ref="DM3:DM11" si="63">$DK3/$DP3</f>
        <v>#DIV/0!</v>
      </c>
      <c r="DN3" s="40">
        <f>6.8526180199*AC3</f>
        <v>10712.012488707682</v>
      </c>
      <c r="DO3" s="44">
        <v>3.9</v>
      </c>
      <c r="DP3" s="7"/>
      <c r="DQ3" s="40">
        <f t="shared" ref="DQ3:DQ11" si="64">(34.4*365*$AD3)/1000</f>
        <v>14720.654400000001</v>
      </c>
      <c r="DR3" s="40">
        <v>15</v>
      </c>
      <c r="DS3" s="40">
        <f t="shared" ref="DS3:DS11" si="65">$AD3*DR3+($DR3)</f>
        <v>17601</v>
      </c>
      <c r="DT3" s="41">
        <f t="shared" ref="DT3:DT11" si="66">((DS3-$DR3)/1900)+($DR3/8760)</f>
        <v>9.2575018024513334</v>
      </c>
      <c r="DU3" s="42">
        <f t="shared" ref="DU3:DU11" si="67">((201*$DW3)/1000)/$AD3</f>
        <v>0.227240639646</v>
      </c>
      <c r="DV3" s="40">
        <f t="shared" ref="DV3:DV11" si="68">$DT3/0.9</f>
        <v>10.286113113834814</v>
      </c>
      <c r="DW3" s="40">
        <f>0.8479128345*AC3</f>
        <v>1325.4573428904</v>
      </c>
      <c r="DX3" s="43">
        <v>30</v>
      </c>
      <c r="DY3" s="40">
        <f t="shared" ref="DY3:DY11" si="69">$AD3*DX3+($DR3)</f>
        <v>35187</v>
      </c>
      <c r="DZ3" s="41">
        <f t="shared" ref="DZ3:DZ11" si="70">((DY3-$DR3)/1900)+($DR3/8760)</f>
        <v>18.513291276135543</v>
      </c>
      <c r="EA3" s="42">
        <f t="shared" ref="EA3:EA11" si="71">((201*$EC3)/1000)/$AD3</f>
        <v>0.227240639646</v>
      </c>
      <c r="EB3" s="40">
        <f t="shared" ref="EB3:EB11" si="72">$DZ3/0.9</f>
        <v>20.570323640150605</v>
      </c>
      <c r="EC3" s="40">
        <f>0.8479128345*AC3</f>
        <v>1325.4573428904</v>
      </c>
      <c r="ED3" s="43">
        <v>70</v>
      </c>
      <c r="EE3" s="40">
        <f t="shared" ref="EE3:EE11" si="73">$AD3*ED3+($DR3)</f>
        <v>82083</v>
      </c>
      <c r="EF3" s="41">
        <f t="shared" ref="EF3:EF11" si="74">((EE3-$DR3)/1900)+($DR3/8760)</f>
        <v>43.195396539293441</v>
      </c>
      <c r="EG3" s="42">
        <f t="shared" ref="EG3:EG11" si="75">((201*$EI3)/1000)/$AD3</f>
        <v>0.227240639646</v>
      </c>
      <c r="EH3" s="40">
        <f t="shared" ref="EH3:EH11" si="76">$EF3/0.9</f>
        <v>47.99488504365938</v>
      </c>
      <c r="EI3" s="40">
        <f>0.8479128345*AC3</f>
        <v>1325.4573428904</v>
      </c>
      <c r="EJ3" s="44">
        <v>3.9</v>
      </c>
    </row>
    <row r="4" spans="1:140">
      <c r="A4" s="18" t="str">
        <f t="shared" si="0"/>
        <v>EgKu</v>
      </c>
      <c r="B4" s="19">
        <v>2</v>
      </c>
      <c r="C4" s="18" t="s">
        <v>75</v>
      </c>
      <c r="D4" s="18" t="s">
        <v>76</v>
      </c>
      <c r="E4" s="18" t="s">
        <v>79</v>
      </c>
      <c r="F4" s="20"/>
      <c r="G4" s="21">
        <v>10000</v>
      </c>
      <c r="H4" s="45">
        <v>8500</v>
      </c>
      <c r="I4" s="45">
        <v>600</v>
      </c>
      <c r="J4" s="45">
        <v>560</v>
      </c>
      <c r="K4" s="45">
        <v>340</v>
      </c>
      <c r="L4" s="45">
        <v>781</v>
      </c>
      <c r="M4" s="21">
        <f t="shared" ref="M4:M11" si="77">15*AY4</f>
        <v>120</v>
      </c>
      <c r="N4" s="46">
        <f t="shared" si="1"/>
        <v>9.01E-2</v>
      </c>
      <c r="O4" s="177"/>
      <c r="P4" s="178"/>
      <c r="Q4" s="21">
        <f t="shared" si="2"/>
        <v>390.5</v>
      </c>
      <c r="R4" s="21">
        <f t="shared" si="3"/>
        <v>312.40000000000003</v>
      </c>
      <c r="S4" s="21">
        <f t="shared" si="4"/>
        <v>1171.5</v>
      </c>
      <c r="T4" s="25"/>
      <c r="U4" s="26">
        <f t="shared" si="5"/>
        <v>901</v>
      </c>
      <c r="V4" s="27">
        <f t="shared" si="6"/>
        <v>9.01E-2</v>
      </c>
      <c r="W4" s="27">
        <f t="shared" si="7"/>
        <v>0.12914999999999999</v>
      </c>
      <c r="X4" s="28"/>
      <c r="Y4" s="29">
        <v>1.5</v>
      </c>
      <c r="Z4" s="26">
        <f t="shared" si="8"/>
        <v>1291.5</v>
      </c>
      <c r="AA4" s="26">
        <f t="shared" si="9"/>
        <v>1033.2</v>
      </c>
      <c r="AB4" s="26">
        <f t="shared" si="10"/>
        <v>1562</v>
      </c>
      <c r="AC4" s="26">
        <f t="shared" si="11"/>
        <v>1249.6000000000001</v>
      </c>
      <c r="AD4" s="26">
        <f t="shared" si="12"/>
        <v>937.2</v>
      </c>
      <c r="AE4" s="26">
        <f t="shared" si="13"/>
        <v>20</v>
      </c>
      <c r="AF4" s="26">
        <f t="shared" ref="AF4:AF11" si="78">AD4-AE4</f>
        <v>917.2</v>
      </c>
      <c r="AG4" s="30"/>
      <c r="AH4" s="26">
        <f t="shared" si="14"/>
        <v>781</v>
      </c>
      <c r="AI4" s="26">
        <f t="shared" ref="AI4:AI5" si="79">135.7*8</f>
        <v>1085.5999999999999</v>
      </c>
      <c r="AJ4" s="26">
        <f t="shared" ref="AJ4:AJ5" si="80">160.5*8</f>
        <v>1284</v>
      </c>
      <c r="AK4" s="26">
        <f t="shared" si="15"/>
        <v>3150.6</v>
      </c>
      <c r="AL4" s="26">
        <f t="shared" ref="AL4:AL5" si="81">511.9*8</f>
        <v>4095.2</v>
      </c>
      <c r="AM4" s="31">
        <f t="shared" si="16"/>
        <v>0.76933971478804453</v>
      </c>
      <c r="AN4" s="32"/>
      <c r="AO4" s="21">
        <v>100</v>
      </c>
      <c r="AP4" s="33">
        <v>100</v>
      </c>
      <c r="AQ4" s="26">
        <f t="shared" si="17"/>
        <v>200</v>
      </c>
      <c r="AR4" s="34"/>
      <c r="AS4" s="26">
        <v>8</v>
      </c>
      <c r="AT4" s="47"/>
      <c r="AU4" s="26">
        <v>51</v>
      </c>
      <c r="AV4" s="26">
        <v>157</v>
      </c>
      <c r="AW4" s="26">
        <v>196</v>
      </c>
      <c r="AX4" s="35">
        <f t="shared" si="18"/>
        <v>18.376470588235296</v>
      </c>
      <c r="AY4" s="35">
        <f t="shared" si="19"/>
        <v>8</v>
      </c>
      <c r="AZ4" s="35">
        <f t="shared" si="20"/>
        <v>32.650448143405889</v>
      </c>
      <c r="BA4" s="35">
        <f t="shared" si="21"/>
        <v>75</v>
      </c>
      <c r="BB4" s="3"/>
      <c r="BC4" s="36" t="s">
        <v>78</v>
      </c>
      <c r="BD4" s="26">
        <f t="shared" si="22"/>
        <v>781</v>
      </c>
      <c r="BE4" s="37">
        <f t="shared" si="23"/>
        <v>921.2</v>
      </c>
      <c r="BF4" s="37" t="e" vm="1">
        <f>'[1]4 - Flächen'!AJ4</f>
        <v>#VALUE!</v>
      </c>
      <c r="BG4" s="26" t="e" vm="2">
        <f t="shared" si="24"/>
        <v>#VALUE!</v>
      </c>
      <c r="BH4" s="26">
        <f t="shared" si="25"/>
        <v>390.5</v>
      </c>
      <c r="BI4" s="37" t="e" vm="2">
        <f t="shared" si="26"/>
        <v>#VALUE!</v>
      </c>
      <c r="BJ4" s="38">
        <f t="shared" si="27"/>
        <v>16</v>
      </c>
      <c r="BK4" s="39">
        <v>0.2</v>
      </c>
      <c r="BL4" s="26">
        <f t="shared" si="28"/>
        <v>187.44000000000003</v>
      </c>
      <c r="BM4" s="26">
        <f t="shared" si="29"/>
        <v>288</v>
      </c>
      <c r="BN4" s="26">
        <f t="shared" si="30"/>
        <v>611.20000000000005</v>
      </c>
      <c r="BO4" s="26">
        <f t="shared" si="31"/>
        <v>64</v>
      </c>
      <c r="BP4" s="37" cm="1">
        <f t="array" ref="BP4">BE4 - _xlfn.IFS(
    _xlfn.XOR(Y4 &lt; 2.5, Y4 = 2.5), 0.5 * AH4,
    _xlfn.XOR(Y4 &lt; 2.5, Y4 = 2.5) = FALSE, 0
)</f>
        <v>530.70000000000005</v>
      </c>
      <c r="BQ4" s="37">
        <f t="shared" si="32"/>
        <v>8</v>
      </c>
      <c r="BR4" s="37" t="e" vm="1">
        <f>'[1]4 - Flächen'!AI4</f>
        <v>#VALUE!</v>
      </c>
      <c r="BS4" s="26"/>
      <c r="BT4" s="37">
        <f t="shared" si="33"/>
        <v>281.16000000000003</v>
      </c>
      <c r="BU4" s="37">
        <f t="shared" si="34"/>
        <v>5501.3640000000005</v>
      </c>
      <c r="BV4" s="37">
        <f t="shared" si="35"/>
        <v>456</v>
      </c>
      <c r="BW4" s="37">
        <f t="shared" si="36"/>
        <v>224</v>
      </c>
      <c r="BX4" s="26"/>
      <c r="BY4" s="26">
        <f t="shared" si="37"/>
        <v>0</v>
      </c>
      <c r="BZ4" s="30"/>
      <c r="CA4" s="40">
        <f t="shared" si="38"/>
        <v>11767.483200000001</v>
      </c>
      <c r="CB4" s="40">
        <v>15</v>
      </c>
      <c r="CC4" s="40">
        <f t="shared" si="39"/>
        <v>14073</v>
      </c>
      <c r="CD4" s="41">
        <f t="shared" si="40"/>
        <v>7.4006596971881757</v>
      </c>
      <c r="CE4" s="42">
        <f t="shared" si="41"/>
        <v>0.25706388326666663</v>
      </c>
      <c r="CF4" s="40" t="e">
        <f t="shared" si="42"/>
        <v>#DIV/0!</v>
      </c>
      <c r="CG4" s="40">
        <f t="shared" ref="CG4:CG5" si="82">0.5073629275*AC4</f>
        <v>634.00071420400002</v>
      </c>
      <c r="CH4" s="43">
        <v>30</v>
      </c>
      <c r="CI4" s="40">
        <f t="shared" si="43"/>
        <v>28131</v>
      </c>
      <c r="CJ4" s="41">
        <f t="shared" si="44"/>
        <v>14.799607065609228</v>
      </c>
      <c r="CK4" s="42">
        <f t="shared" si="45"/>
        <v>0.26875325387466664</v>
      </c>
      <c r="CL4" s="40" t="e">
        <f t="shared" si="46"/>
        <v>#DIV/0!</v>
      </c>
      <c r="CM4" s="40">
        <f t="shared" ref="CM4:CM5" si="83">0.5304340537*AC4</f>
        <v>662.83039350351999</v>
      </c>
      <c r="CN4" s="43">
        <v>70</v>
      </c>
      <c r="CO4" s="40">
        <f t="shared" si="47"/>
        <v>65619</v>
      </c>
      <c r="CP4" s="41">
        <f t="shared" si="48"/>
        <v>34.530133381398706</v>
      </c>
      <c r="CQ4" s="42">
        <f t="shared" si="49"/>
        <v>0.32572563263733328</v>
      </c>
      <c r="CR4" s="40" t="e">
        <f t="shared" si="50"/>
        <v>#DIV/0!</v>
      </c>
      <c r="CS4" s="40">
        <f t="shared" ref="CS4:CS5" si="84">0.6428795381*AC4</f>
        <v>803.34227080976007</v>
      </c>
      <c r="CT4" s="44">
        <v>3.05</v>
      </c>
      <c r="CU4" s="30"/>
      <c r="CV4" s="40">
        <f t="shared" si="51"/>
        <v>11767.483200000001</v>
      </c>
      <c r="CW4" s="40">
        <v>15</v>
      </c>
      <c r="CX4" s="40">
        <f t="shared" si="52"/>
        <v>14073</v>
      </c>
      <c r="CY4" s="41">
        <f t="shared" si="53"/>
        <v>7.4006596971881757</v>
      </c>
      <c r="CZ4" s="42">
        <f t="shared" si="54"/>
        <v>3.282810086509333</v>
      </c>
      <c r="DA4" s="40" t="e">
        <f t="shared" si="55"/>
        <v>#DIV/0!</v>
      </c>
      <c r="DB4" s="40">
        <f>6.4792304339*AC4</f>
        <v>8096.4463502014405</v>
      </c>
      <c r="DC4" s="43">
        <v>30</v>
      </c>
      <c r="DD4" s="40">
        <f t="shared" si="56"/>
        <v>28131</v>
      </c>
      <c r="DE4" s="41">
        <f t="shared" si="57"/>
        <v>14.799607065609228</v>
      </c>
      <c r="DF4" s="42">
        <f t="shared" si="58"/>
        <v>3.3077015743866673</v>
      </c>
      <c r="DG4" s="40" t="e">
        <f t="shared" si="59"/>
        <v>#DIV/0!</v>
      </c>
      <c r="DH4" s="40">
        <f>6.5283583705*AC4</f>
        <v>8157.8366197768009</v>
      </c>
      <c r="DI4" s="43">
        <v>70</v>
      </c>
      <c r="DJ4" s="40">
        <f t="shared" si="60"/>
        <v>65619</v>
      </c>
      <c r="DK4" s="41">
        <f t="shared" si="61"/>
        <v>34.530133381398706</v>
      </c>
      <c r="DL4" s="42">
        <f t="shared" si="62"/>
        <v>3.3998879412986667</v>
      </c>
      <c r="DM4" s="40" t="e">
        <f t="shared" si="63"/>
        <v>#DIV/0!</v>
      </c>
      <c r="DN4" s="40">
        <f>6.7103051473*AC4</f>
        <v>8385.1973120660805</v>
      </c>
      <c r="DO4" s="44">
        <v>3.9</v>
      </c>
      <c r="DP4" s="7"/>
      <c r="DQ4" s="40">
        <f t="shared" si="64"/>
        <v>11767.483200000001</v>
      </c>
      <c r="DR4" s="40">
        <v>15</v>
      </c>
      <c r="DS4" s="40">
        <f t="shared" si="65"/>
        <v>14073</v>
      </c>
      <c r="DT4" s="41">
        <f t="shared" si="66"/>
        <v>7.4006596971881757</v>
      </c>
      <c r="DU4" s="42">
        <f t="shared" si="67"/>
        <v>0.2251716185688</v>
      </c>
      <c r="DV4" s="40">
        <f t="shared" si="68"/>
        <v>8.2229552190979724</v>
      </c>
      <c r="DW4" s="40">
        <f>0.8401926066*AC4</f>
        <v>1049.90468120736</v>
      </c>
      <c r="DX4" s="43">
        <v>30</v>
      </c>
      <c r="DY4" s="40">
        <f t="shared" si="69"/>
        <v>28131</v>
      </c>
      <c r="DZ4" s="41">
        <f t="shared" si="70"/>
        <v>14.799607065609228</v>
      </c>
      <c r="EA4" s="42">
        <f t="shared" si="71"/>
        <v>0.2251716185688</v>
      </c>
      <c r="EB4" s="40">
        <f t="shared" si="72"/>
        <v>16.444007850676918</v>
      </c>
      <c r="EC4" s="40">
        <f>0.8401926066*AC4</f>
        <v>1049.90468120736</v>
      </c>
      <c r="ED4" s="43">
        <v>70</v>
      </c>
      <c r="EE4" s="40">
        <f t="shared" si="73"/>
        <v>65619</v>
      </c>
      <c r="EF4" s="41">
        <f t="shared" si="74"/>
        <v>34.530133381398706</v>
      </c>
      <c r="EG4" s="42">
        <f t="shared" si="75"/>
        <v>0.2407304580772</v>
      </c>
      <c r="EH4" s="40">
        <f t="shared" si="76"/>
        <v>38.366814868220786</v>
      </c>
      <c r="EI4" s="40">
        <f>0.8982479779*AC4</f>
        <v>1122.4506731838401</v>
      </c>
      <c r="EJ4" s="44">
        <v>3.9</v>
      </c>
    </row>
    <row r="5" spans="1:140">
      <c r="A5" s="18" t="str">
        <f t="shared" si="0"/>
        <v>EgWe</v>
      </c>
      <c r="B5" s="19">
        <v>3</v>
      </c>
      <c r="C5" s="18" t="s">
        <v>75</v>
      </c>
      <c r="D5" s="18" t="s">
        <v>76</v>
      </c>
      <c r="E5" s="18" t="s">
        <v>80</v>
      </c>
      <c r="F5" s="20"/>
      <c r="G5" s="21">
        <v>10000</v>
      </c>
      <c r="H5" s="45">
        <v>8493</v>
      </c>
      <c r="I5" s="45">
        <v>764</v>
      </c>
      <c r="J5" s="45">
        <v>423</v>
      </c>
      <c r="K5" s="45">
        <v>320</v>
      </c>
      <c r="L5" s="45">
        <v>781</v>
      </c>
      <c r="M5" s="21">
        <f t="shared" si="77"/>
        <v>120</v>
      </c>
      <c r="N5" s="46">
        <f t="shared" si="1"/>
        <v>9.01E-2</v>
      </c>
      <c r="O5" s="179"/>
      <c r="P5" s="180"/>
      <c r="Q5" s="21">
        <f t="shared" si="2"/>
        <v>390.5</v>
      </c>
      <c r="R5" s="21">
        <f t="shared" si="3"/>
        <v>312.40000000000003</v>
      </c>
      <c r="S5" s="21">
        <f t="shared" si="4"/>
        <v>1171.5</v>
      </c>
      <c r="T5" s="25"/>
      <c r="U5" s="26">
        <f t="shared" si="5"/>
        <v>901</v>
      </c>
      <c r="V5" s="27">
        <f t="shared" si="6"/>
        <v>9.01E-2</v>
      </c>
      <c r="W5" s="27">
        <f t="shared" si="7"/>
        <v>0.12914999999999999</v>
      </c>
      <c r="X5" s="28"/>
      <c r="Y5" s="29">
        <v>1.5</v>
      </c>
      <c r="Z5" s="26">
        <f t="shared" si="8"/>
        <v>1291.5</v>
      </c>
      <c r="AA5" s="26">
        <f t="shared" si="9"/>
        <v>1033.2</v>
      </c>
      <c r="AB5" s="26">
        <f t="shared" si="10"/>
        <v>1562</v>
      </c>
      <c r="AC5" s="26">
        <f t="shared" si="11"/>
        <v>1249.6000000000001</v>
      </c>
      <c r="AD5" s="26">
        <f t="shared" si="12"/>
        <v>937.2</v>
      </c>
      <c r="AE5" s="26">
        <f t="shared" si="13"/>
        <v>20</v>
      </c>
      <c r="AF5" s="26">
        <f t="shared" si="78"/>
        <v>917.2</v>
      </c>
      <c r="AG5" s="30"/>
      <c r="AH5" s="26">
        <f t="shared" si="14"/>
        <v>781</v>
      </c>
      <c r="AI5" s="26">
        <f t="shared" si="79"/>
        <v>1085.5999999999999</v>
      </c>
      <c r="AJ5" s="26">
        <f t="shared" si="80"/>
        <v>1284</v>
      </c>
      <c r="AK5" s="26">
        <f t="shared" si="15"/>
        <v>3150.6</v>
      </c>
      <c r="AL5" s="26">
        <f t="shared" si="81"/>
        <v>4095.2</v>
      </c>
      <c r="AM5" s="31">
        <f t="shared" si="16"/>
        <v>0.76933971478804453</v>
      </c>
      <c r="AN5" s="32"/>
      <c r="AO5" s="21">
        <v>90</v>
      </c>
      <c r="AP5" s="33">
        <v>100</v>
      </c>
      <c r="AQ5" s="26">
        <f t="shared" si="17"/>
        <v>190</v>
      </c>
      <c r="AR5" s="34"/>
      <c r="AS5" s="26">
        <v>8</v>
      </c>
      <c r="AT5" s="3"/>
      <c r="AU5" s="26">
        <v>51</v>
      </c>
      <c r="AV5" s="26">
        <v>157</v>
      </c>
      <c r="AW5" s="26">
        <v>196</v>
      </c>
      <c r="AX5" s="35">
        <f t="shared" si="18"/>
        <v>18.376470588235296</v>
      </c>
      <c r="AY5" s="35">
        <f t="shared" si="19"/>
        <v>8</v>
      </c>
      <c r="AZ5" s="35">
        <f t="shared" si="20"/>
        <v>41.57490396927016</v>
      </c>
      <c r="BA5" s="35">
        <f t="shared" si="21"/>
        <v>95.5</v>
      </c>
      <c r="BB5" s="3"/>
      <c r="BC5" s="36" t="s">
        <v>78</v>
      </c>
      <c r="BD5" s="26">
        <f t="shared" si="22"/>
        <v>781</v>
      </c>
      <c r="BE5" s="37">
        <f t="shared" si="23"/>
        <v>921.2</v>
      </c>
      <c r="BF5" s="37" t="e" vm="1">
        <f>'[1]4 - Flächen'!AJ5</f>
        <v>#VALUE!</v>
      </c>
      <c r="BG5" s="26" t="e" vm="2">
        <f t="shared" si="24"/>
        <v>#VALUE!</v>
      </c>
      <c r="BH5" s="26">
        <f t="shared" si="25"/>
        <v>390.5</v>
      </c>
      <c r="BI5" s="37" t="e" vm="2">
        <f t="shared" si="26"/>
        <v>#VALUE!</v>
      </c>
      <c r="BJ5" s="38">
        <f t="shared" si="27"/>
        <v>16</v>
      </c>
      <c r="BK5" s="39">
        <v>0.2</v>
      </c>
      <c r="BL5" s="26">
        <f t="shared" si="28"/>
        <v>187.44000000000003</v>
      </c>
      <c r="BM5" s="26">
        <f t="shared" si="29"/>
        <v>288</v>
      </c>
      <c r="BN5" s="26">
        <f t="shared" si="30"/>
        <v>611.20000000000005</v>
      </c>
      <c r="BO5" s="26">
        <f t="shared" si="31"/>
        <v>64</v>
      </c>
      <c r="BP5" s="37" cm="1">
        <f t="array" ref="BP5">BE5 - _xlfn.IFS(
    _xlfn.XOR(Y5 &lt; 2.5, Y5 = 2.5), 0.5 * AH5,
    _xlfn.XOR(Y5 &lt; 2.5, Y5 = 2.5) = FALSE, 0
)</f>
        <v>530.70000000000005</v>
      </c>
      <c r="BQ5" s="37">
        <f t="shared" si="32"/>
        <v>8</v>
      </c>
      <c r="BR5" s="37" t="e" vm="1">
        <f>'[1]4 - Flächen'!AI5</f>
        <v>#VALUE!</v>
      </c>
      <c r="BS5" s="26"/>
      <c r="BT5" s="37">
        <f t="shared" si="33"/>
        <v>281.16000000000003</v>
      </c>
      <c r="BU5" s="37">
        <f t="shared" si="34"/>
        <v>5501.3640000000005</v>
      </c>
      <c r="BV5" s="37">
        <f t="shared" si="35"/>
        <v>456</v>
      </c>
      <c r="BW5" s="37">
        <f t="shared" si="36"/>
        <v>224</v>
      </c>
      <c r="BX5" s="26"/>
      <c r="BY5" s="26">
        <f t="shared" si="37"/>
        <v>0</v>
      </c>
      <c r="BZ5" s="30"/>
      <c r="CA5" s="40">
        <f t="shared" si="38"/>
        <v>11767.483200000001</v>
      </c>
      <c r="CB5" s="40">
        <v>15</v>
      </c>
      <c r="CC5" s="40">
        <f t="shared" si="39"/>
        <v>14073</v>
      </c>
      <c r="CD5" s="41">
        <f t="shared" si="40"/>
        <v>7.4006596971881757</v>
      </c>
      <c r="CE5" s="42">
        <f t="shared" si="41"/>
        <v>0.25706388326666663</v>
      </c>
      <c r="CF5" s="40" t="e">
        <f t="shared" si="42"/>
        <v>#DIV/0!</v>
      </c>
      <c r="CG5" s="40">
        <f t="shared" si="82"/>
        <v>634.00071420400002</v>
      </c>
      <c r="CH5" s="43">
        <v>30</v>
      </c>
      <c r="CI5" s="40">
        <f t="shared" si="43"/>
        <v>28131</v>
      </c>
      <c r="CJ5" s="41">
        <f t="shared" si="44"/>
        <v>14.799607065609228</v>
      </c>
      <c r="CK5" s="42">
        <f t="shared" si="45"/>
        <v>0.26875325387466664</v>
      </c>
      <c r="CL5" s="40" t="e">
        <f t="shared" si="46"/>
        <v>#DIV/0!</v>
      </c>
      <c r="CM5" s="40">
        <f t="shared" si="83"/>
        <v>662.83039350351999</v>
      </c>
      <c r="CN5" s="43">
        <v>70</v>
      </c>
      <c r="CO5" s="40">
        <f t="shared" si="47"/>
        <v>65619</v>
      </c>
      <c r="CP5" s="41">
        <f t="shared" si="48"/>
        <v>34.530133381398706</v>
      </c>
      <c r="CQ5" s="42">
        <f t="shared" si="49"/>
        <v>0.32572563263733328</v>
      </c>
      <c r="CR5" s="40" t="e">
        <f t="shared" si="50"/>
        <v>#DIV/0!</v>
      </c>
      <c r="CS5" s="40">
        <f t="shared" si="84"/>
        <v>803.34227080976007</v>
      </c>
      <c r="CT5" s="44">
        <v>3.05</v>
      </c>
      <c r="CU5" s="30"/>
      <c r="CV5" s="40">
        <f t="shared" si="51"/>
        <v>11767.483200000001</v>
      </c>
      <c r="CW5" s="40">
        <v>15</v>
      </c>
      <c r="CX5" s="40">
        <f t="shared" si="52"/>
        <v>14073</v>
      </c>
      <c r="CY5" s="41">
        <f t="shared" si="53"/>
        <v>7.4006596971881757</v>
      </c>
      <c r="CZ5" s="42">
        <f t="shared" si="54"/>
        <v>3.2707093832800003</v>
      </c>
      <c r="DA5" s="40" t="e">
        <f t="shared" si="55"/>
        <v>#DIV/0!</v>
      </c>
      <c r="DB5" s="40">
        <f>6.455347467*AC5</f>
        <v>8066.6021947632007</v>
      </c>
      <c r="DC5" s="43">
        <v>30</v>
      </c>
      <c r="DD5" s="40">
        <f t="shared" si="56"/>
        <v>28131</v>
      </c>
      <c r="DE5" s="41">
        <f t="shared" si="57"/>
        <v>14.799607065609228</v>
      </c>
      <c r="DF5" s="42">
        <f t="shared" si="58"/>
        <v>3.2955401601786667</v>
      </c>
      <c r="DG5" s="40" t="e">
        <f t="shared" si="59"/>
        <v>#DIV/0!</v>
      </c>
      <c r="DH5" s="40">
        <f>6.5043555793*AC5</f>
        <v>8127.8427318932809</v>
      </c>
      <c r="DI5" s="43">
        <v>70</v>
      </c>
      <c r="DJ5" s="40">
        <f t="shared" si="60"/>
        <v>65619</v>
      </c>
      <c r="DK5" s="41">
        <f t="shared" si="61"/>
        <v>34.530133381398706</v>
      </c>
      <c r="DL5" s="42">
        <f t="shared" si="62"/>
        <v>3.3877265270906665</v>
      </c>
      <c r="DM5" s="40" t="e">
        <f t="shared" si="63"/>
        <v>#DIV/0!</v>
      </c>
      <c r="DN5" s="40">
        <f>6.6863023561*AC5</f>
        <v>8355.2034241825604</v>
      </c>
      <c r="DO5" s="44">
        <v>3.9</v>
      </c>
      <c r="DP5" s="7"/>
      <c r="DQ5" s="40">
        <f t="shared" si="64"/>
        <v>11767.483200000001</v>
      </c>
      <c r="DR5" s="40">
        <v>15</v>
      </c>
      <c r="DS5" s="40">
        <f t="shared" si="65"/>
        <v>14073</v>
      </c>
      <c r="DT5" s="41">
        <f t="shared" si="66"/>
        <v>7.4006596971881757</v>
      </c>
      <c r="DU5" s="42">
        <f t="shared" si="67"/>
        <v>0.22481832448680003</v>
      </c>
      <c r="DV5" s="40">
        <f t="shared" si="68"/>
        <v>8.2229552190979724</v>
      </c>
      <c r="DW5" s="40">
        <f>0.8388743451*AC5</f>
        <v>1048.2573816369602</v>
      </c>
      <c r="DX5" s="43">
        <v>30</v>
      </c>
      <c r="DY5" s="40">
        <f t="shared" si="69"/>
        <v>28131</v>
      </c>
      <c r="DZ5" s="41">
        <f t="shared" si="70"/>
        <v>14.799607065609228</v>
      </c>
      <c r="EA5" s="42">
        <f t="shared" si="71"/>
        <v>0.22481832448680003</v>
      </c>
      <c r="EB5" s="40">
        <f t="shared" si="72"/>
        <v>16.444007850676918</v>
      </c>
      <c r="EC5" s="40">
        <f>0.8388743451*AC5</f>
        <v>1048.2573816369602</v>
      </c>
      <c r="ED5" s="43">
        <v>70</v>
      </c>
      <c r="EE5" s="40">
        <f t="shared" si="73"/>
        <v>65619</v>
      </c>
      <c r="EF5" s="41">
        <f t="shared" si="74"/>
        <v>34.530133381398706</v>
      </c>
      <c r="EG5" s="42">
        <f t="shared" si="75"/>
        <v>0.24037716396839998</v>
      </c>
      <c r="EH5" s="40">
        <f t="shared" si="76"/>
        <v>38.366814868220786</v>
      </c>
      <c r="EI5" s="40">
        <f>0.8969297163*AC5</f>
        <v>1120.80337348848</v>
      </c>
      <c r="EJ5" s="44">
        <v>3.9</v>
      </c>
    </row>
    <row r="6" spans="1:140">
      <c r="A6" s="48" t="str">
        <f t="shared" si="0"/>
        <v>EmKr</v>
      </c>
      <c r="B6" s="49">
        <v>4</v>
      </c>
      <c r="C6" s="48" t="s">
        <v>75</v>
      </c>
      <c r="D6" s="48" t="s">
        <v>81</v>
      </c>
      <c r="E6" s="48" t="s">
        <v>77</v>
      </c>
      <c r="F6" s="20"/>
      <c r="G6" s="50">
        <v>10000</v>
      </c>
      <c r="H6" s="51">
        <v>7225</v>
      </c>
      <c r="I6" s="51">
        <v>1164</v>
      </c>
      <c r="J6" s="51">
        <v>931</v>
      </c>
      <c r="K6" s="51">
        <v>680</v>
      </c>
      <c r="L6" s="51">
        <v>1172</v>
      </c>
      <c r="M6" s="52">
        <f t="shared" si="77"/>
        <v>180</v>
      </c>
      <c r="N6" s="53">
        <f t="shared" si="1"/>
        <v>0.13519999999999999</v>
      </c>
      <c r="O6" s="54"/>
      <c r="P6" s="178"/>
      <c r="Q6" s="52">
        <f t="shared" si="2"/>
        <v>586</v>
      </c>
      <c r="R6" s="52">
        <f t="shared" si="3"/>
        <v>468.8</v>
      </c>
      <c r="S6" s="52">
        <f t="shared" si="4"/>
        <v>1758</v>
      </c>
      <c r="T6" s="25"/>
      <c r="U6" s="55">
        <f t="shared" si="5"/>
        <v>1352</v>
      </c>
      <c r="V6" s="56">
        <f t="shared" si="6"/>
        <v>0.13519999999999999</v>
      </c>
      <c r="W6" s="56">
        <f t="shared" si="7"/>
        <v>0.25240000000000001</v>
      </c>
      <c r="X6" s="32"/>
      <c r="Y6" s="57">
        <v>2</v>
      </c>
      <c r="Z6" s="58">
        <f t="shared" si="8"/>
        <v>2524</v>
      </c>
      <c r="AA6" s="58">
        <f t="shared" si="9"/>
        <v>2019.2</v>
      </c>
      <c r="AB6" s="58">
        <f t="shared" si="10"/>
        <v>2930</v>
      </c>
      <c r="AC6" s="58">
        <f t="shared" si="11"/>
        <v>2344</v>
      </c>
      <c r="AD6" s="58">
        <f t="shared" si="12"/>
        <v>1875.2</v>
      </c>
      <c r="AE6" s="58">
        <f t="shared" si="13"/>
        <v>30</v>
      </c>
      <c r="AF6" s="58">
        <f t="shared" si="78"/>
        <v>1845.2</v>
      </c>
      <c r="AG6" s="30"/>
      <c r="AH6" s="58">
        <f t="shared" si="14"/>
        <v>1172</v>
      </c>
      <c r="AI6" s="51">
        <f>110.5*12</f>
        <v>1326</v>
      </c>
      <c r="AJ6" s="51">
        <f>260.8*12</f>
        <v>3129.6000000000004</v>
      </c>
      <c r="AK6" s="58">
        <f t="shared" si="15"/>
        <v>5627.6</v>
      </c>
      <c r="AL6" s="51">
        <f>707.7*12</f>
        <v>8492.4000000000015</v>
      </c>
      <c r="AM6" s="59">
        <f t="shared" si="16"/>
        <v>0.66266308699543108</v>
      </c>
      <c r="AN6" s="32"/>
      <c r="AO6" s="50">
        <v>200</v>
      </c>
      <c r="AP6" s="60">
        <v>150</v>
      </c>
      <c r="AQ6" s="55">
        <f t="shared" si="17"/>
        <v>350</v>
      </c>
      <c r="AR6" s="34"/>
      <c r="AS6" s="55">
        <v>12</v>
      </c>
      <c r="AT6" s="61"/>
      <c r="AU6" s="58">
        <v>51</v>
      </c>
      <c r="AV6" s="58">
        <v>157</v>
      </c>
      <c r="AW6" s="58">
        <v>196</v>
      </c>
      <c r="AX6" s="62">
        <f t="shared" si="18"/>
        <v>36.768627450980397</v>
      </c>
      <c r="AY6" s="62">
        <f t="shared" si="19"/>
        <v>12</v>
      </c>
      <c r="AZ6" s="62">
        <f t="shared" si="20"/>
        <v>31.657423208191123</v>
      </c>
      <c r="BA6" s="62">
        <f t="shared" si="21"/>
        <v>97</v>
      </c>
      <c r="BB6" s="3"/>
      <c r="BC6" s="63" t="s">
        <v>78</v>
      </c>
      <c r="BD6" s="58">
        <f t="shared" si="22"/>
        <v>1172</v>
      </c>
      <c r="BE6" s="58">
        <f t="shared" si="23"/>
        <v>1839.2</v>
      </c>
      <c r="BF6" s="58" t="e" vm="1">
        <f>'[1]4 - Flächen'!AJ6</f>
        <v>#VALUE!</v>
      </c>
      <c r="BG6" s="58" t="e" vm="2">
        <f t="shared" si="24"/>
        <v>#VALUE!</v>
      </c>
      <c r="BH6" s="58">
        <f t="shared" si="25"/>
        <v>586</v>
      </c>
      <c r="BI6" s="58" t="e" vm="2">
        <f t="shared" si="26"/>
        <v>#VALUE!</v>
      </c>
      <c r="BJ6" s="63">
        <f t="shared" si="27"/>
        <v>24</v>
      </c>
      <c r="BK6" s="64">
        <v>0.2</v>
      </c>
      <c r="BL6" s="58">
        <f t="shared" si="28"/>
        <v>375.04</v>
      </c>
      <c r="BM6" s="58">
        <f t="shared" si="29"/>
        <v>432</v>
      </c>
      <c r="BN6" s="58">
        <f t="shared" si="30"/>
        <v>916.80000000000007</v>
      </c>
      <c r="BO6" s="58">
        <f t="shared" si="31"/>
        <v>96</v>
      </c>
      <c r="BP6" s="58" cm="1">
        <f t="array" ref="BP6">BE6 - _xlfn.IFS(
    _xlfn.XOR(Y6 &lt; 2.5, Y6 = 2.5), 0.5 * AH6,
    _xlfn.XOR(Y6 &lt; 2.5, Y6 = 2.5) = FALSE, 0
)</f>
        <v>1253.2</v>
      </c>
      <c r="BQ6" s="58">
        <f t="shared" si="32"/>
        <v>18</v>
      </c>
      <c r="BR6" s="58" t="e" vm="1">
        <f>'[1]4 - Flächen'!AI6</f>
        <v>#VALUE!</v>
      </c>
      <c r="BS6" s="26"/>
      <c r="BT6" s="58">
        <f t="shared" si="33"/>
        <v>562.55999999999995</v>
      </c>
      <c r="BU6" s="58">
        <f t="shared" si="34"/>
        <v>11007.424000000001</v>
      </c>
      <c r="BV6" s="58">
        <f t="shared" si="35"/>
        <v>684</v>
      </c>
      <c r="BW6" s="58">
        <f t="shared" si="36"/>
        <v>336</v>
      </c>
      <c r="BX6" s="58"/>
      <c r="BY6" s="58">
        <f t="shared" si="37"/>
        <v>0</v>
      </c>
      <c r="BZ6" s="30"/>
      <c r="CA6" s="65">
        <f t="shared" si="38"/>
        <v>23545.011200000001</v>
      </c>
      <c r="CB6" s="65">
        <v>15</v>
      </c>
      <c r="CC6" s="65">
        <f t="shared" si="39"/>
        <v>28143</v>
      </c>
      <c r="CD6" s="66">
        <f t="shared" si="40"/>
        <v>14.805922855082912</v>
      </c>
      <c r="CE6" s="67">
        <f t="shared" si="41"/>
        <v>0.22395006160249997</v>
      </c>
      <c r="CF6" s="65" t="e">
        <f t="shared" si="42"/>
        <v>#DIV/0!</v>
      </c>
      <c r="CG6" s="65">
        <f>0.4714738139*AC6</f>
        <v>1105.1346197815999</v>
      </c>
      <c r="CH6" s="68">
        <v>30</v>
      </c>
      <c r="CI6" s="65">
        <f t="shared" si="43"/>
        <v>56271</v>
      </c>
      <c r="CJ6" s="66">
        <f t="shared" si="44"/>
        <v>29.6101333813987</v>
      </c>
      <c r="CK6" s="67">
        <f t="shared" si="45"/>
        <v>0.25417378226249998</v>
      </c>
      <c r="CL6" s="65" t="e">
        <f t="shared" si="46"/>
        <v>#DIV/0!</v>
      </c>
      <c r="CM6" s="65">
        <f>0.5351026995*AC6</f>
        <v>1254.280727628</v>
      </c>
      <c r="CN6" s="68">
        <v>70</v>
      </c>
      <c r="CO6" s="65">
        <f t="shared" si="47"/>
        <v>131279</v>
      </c>
      <c r="CP6" s="66">
        <f t="shared" si="48"/>
        <v>69.088028118240814</v>
      </c>
      <c r="CQ6" s="67">
        <f t="shared" si="49"/>
        <v>0.31805801369249997</v>
      </c>
      <c r="CR6" s="65" t="e">
        <f t="shared" si="50"/>
        <v>#DIV/0!</v>
      </c>
      <c r="CS6" s="65">
        <f t="shared" ref="CS6:CS7" si="85">0.6695958183*AC6</f>
        <v>1569.5325980952</v>
      </c>
      <c r="CT6" s="69">
        <v>3.05</v>
      </c>
      <c r="CU6" s="30"/>
      <c r="CV6" s="65">
        <f t="shared" si="51"/>
        <v>23545.011200000001</v>
      </c>
      <c r="CW6" s="65">
        <v>15</v>
      </c>
      <c r="CX6" s="65">
        <f t="shared" si="52"/>
        <v>28143</v>
      </c>
      <c r="CY6" s="66">
        <f t="shared" si="53"/>
        <v>14.805922855082912</v>
      </c>
      <c r="CZ6" s="67">
        <f t="shared" si="54"/>
        <v>2.1412900627624998</v>
      </c>
      <c r="DA6" s="65" t="e">
        <f t="shared" si="55"/>
        <v>#DIV/0!</v>
      </c>
      <c r="DB6" s="65">
        <f>4.5079790795*AC6</f>
        <v>10566.702962347999</v>
      </c>
      <c r="DC6" s="68">
        <v>30</v>
      </c>
      <c r="DD6" s="65">
        <f t="shared" si="56"/>
        <v>56271</v>
      </c>
      <c r="DE6" s="66">
        <f t="shared" si="57"/>
        <v>29.6101333813987</v>
      </c>
      <c r="DF6" s="67">
        <f t="shared" si="58"/>
        <v>2.183864984365</v>
      </c>
      <c r="DG6" s="65" t="e">
        <f t="shared" si="59"/>
        <v>#DIV/0!</v>
      </c>
      <c r="DH6" s="65">
        <f>4.5976104934*AC6</f>
        <v>10776.7989965296</v>
      </c>
      <c r="DI6" s="68">
        <v>70</v>
      </c>
      <c r="DJ6" s="65">
        <f t="shared" si="60"/>
        <v>131279</v>
      </c>
      <c r="DK6" s="66">
        <f t="shared" si="61"/>
        <v>69.088028118240814</v>
      </c>
      <c r="DL6" s="67">
        <f t="shared" si="62"/>
        <v>2.2807124858924999</v>
      </c>
      <c r="DM6" s="65" t="e">
        <f t="shared" si="63"/>
        <v>#DIV/0!</v>
      </c>
      <c r="DN6" s="65">
        <f>4.8014999703*AC6</f>
        <v>11254.7159303832</v>
      </c>
      <c r="DO6" s="69">
        <v>3.9</v>
      </c>
      <c r="DP6" s="7"/>
      <c r="DQ6" s="65">
        <f t="shared" si="64"/>
        <v>23545.011200000001</v>
      </c>
      <c r="DR6" s="65">
        <v>15</v>
      </c>
      <c r="DS6" s="65">
        <f t="shared" si="65"/>
        <v>28143</v>
      </c>
      <c r="DT6" s="66">
        <f t="shared" si="66"/>
        <v>14.805922855082912</v>
      </c>
      <c r="DU6" s="67">
        <f t="shared" si="67"/>
        <v>0.18668962236637499</v>
      </c>
      <c r="DV6" s="65">
        <f t="shared" si="68"/>
        <v>16.451025394536568</v>
      </c>
      <c r="DW6" s="65">
        <f>0.7430432731*AC6</f>
        <v>1741.6934321463998</v>
      </c>
      <c r="DX6" s="68">
        <v>30</v>
      </c>
      <c r="DY6" s="65">
        <f t="shared" si="69"/>
        <v>56271</v>
      </c>
      <c r="DZ6" s="66">
        <f t="shared" si="70"/>
        <v>29.6101333813987</v>
      </c>
      <c r="EA6" s="67">
        <f t="shared" si="71"/>
        <v>0.19684715817037499</v>
      </c>
      <c r="EB6" s="65">
        <f t="shared" si="72"/>
        <v>32.90014820155411</v>
      </c>
      <c r="EC6" s="65">
        <f>0.7834712763*AC6</f>
        <v>1836.4566716472</v>
      </c>
      <c r="ED6" s="68">
        <v>70</v>
      </c>
      <c r="EE6" s="65">
        <f t="shared" si="73"/>
        <v>131279</v>
      </c>
      <c r="EF6" s="66">
        <f t="shared" si="74"/>
        <v>69.088028118240814</v>
      </c>
      <c r="EG6" s="67">
        <f t="shared" si="75"/>
        <v>0.21691558300500002</v>
      </c>
      <c r="EH6" s="65">
        <f t="shared" si="76"/>
        <v>76.764475686934233</v>
      </c>
      <c r="EI6" s="65">
        <f>0.863345604*AC6</f>
        <v>2023.6820957760001</v>
      </c>
      <c r="EJ6" s="69">
        <v>3.9</v>
      </c>
    </row>
    <row r="7" spans="1:140">
      <c r="A7" s="48" t="str">
        <f t="shared" si="0"/>
        <v>EmKu</v>
      </c>
      <c r="B7" s="49">
        <v>5</v>
      </c>
      <c r="C7" s="48" t="s">
        <v>75</v>
      </c>
      <c r="D7" s="48" t="s">
        <v>81</v>
      </c>
      <c r="E7" s="48" t="s">
        <v>79</v>
      </c>
      <c r="F7" s="20"/>
      <c r="G7" s="50">
        <v>10000</v>
      </c>
      <c r="H7" s="51">
        <v>8500</v>
      </c>
      <c r="I7" s="51">
        <v>600</v>
      </c>
      <c r="J7" s="51">
        <v>560</v>
      </c>
      <c r="K7" s="51">
        <v>340</v>
      </c>
      <c r="L7" s="51">
        <v>879</v>
      </c>
      <c r="M7" s="52">
        <f t="shared" si="77"/>
        <v>135</v>
      </c>
      <c r="N7" s="53">
        <f t="shared" si="1"/>
        <v>0.1014</v>
      </c>
      <c r="O7" s="177"/>
      <c r="P7" s="178"/>
      <c r="Q7" s="52">
        <f t="shared" si="2"/>
        <v>439.5</v>
      </c>
      <c r="R7" s="52">
        <f t="shared" si="3"/>
        <v>351.6</v>
      </c>
      <c r="S7" s="52">
        <f t="shared" si="4"/>
        <v>1318.5</v>
      </c>
      <c r="T7" s="25"/>
      <c r="U7" s="55">
        <f t="shared" si="5"/>
        <v>1014</v>
      </c>
      <c r="V7" s="56">
        <f t="shared" si="6"/>
        <v>0.1014</v>
      </c>
      <c r="W7" s="56">
        <f t="shared" si="7"/>
        <v>0.1893</v>
      </c>
      <c r="X7" s="32"/>
      <c r="Y7" s="57">
        <v>2</v>
      </c>
      <c r="Z7" s="58">
        <f t="shared" si="8"/>
        <v>1893</v>
      </c>
      <c r="AA7" s="58">
        <f t="shared" si="9"/>
        <v>1514.4</v>
      </c>
      <c r="AB7" s="58">
        <f t="shared" si="10"/>
        <v>2197.5</v>
      </c>
      <c r="AC7" s="58">
        <f t="shared" si="11"/>
        <v>1758</v>
      </c>
      <c r="AD7" s="58">
        <f t="shared" si="12"/>
        <v>1406.4</v>
      </c>
      <c r="AE7" s="58">
        <f t="shared" si="13"/>
        <v>22.5</v>
      </c>
      <c r="AF7" s="58">
        <f t="shared" si="78"/>
        <v>1383.9</v>
      </c>
      <c r="AG7" s="30"/>
      <c r="AH7" s="58">
        <f t="shared" si="14"/>
        <v>879</v>
      </c>
      <c r="AI7" s="51">
        <f>110.5*9</f>
        <v>994.5</v>
      </c>
      <c r="AJ7" s="51">
        <f>260.8*9</f>
        <v>2347.2000000000003</v>
      </c>
      <c r="AK7" s="58">
        <f t="shared" si="15"/>
        <v>4220.7000000000007</v>
      </c>
      <c r="AL7" s="51">
        <f>707.7*9</f>
        <v>6369.3</v>
      </c>
      <c r="AM7" s="59">
        <f t="shared" si="16"/>
        <v>0.66266308699543131</v>
      </c>
      <c r="AN7" s="32"/>
      <c r="AO7" s="50">
        <v>100</v>
      </c>
      <c r="AP7" s="60">
        <v>112</v>
      </c>
      <c r="AQ7" s="55">
        <f t="shared" si="17"/>
        <v>212</v>
      </c>
      <c r="AR7" s="34"/>
      <c r="AS7" s="55">
        <v>9</v>
      </c>
      <c r="AT7" s="20"/>
      <c r="AU7" s="58">
        <v>51</v>
      </c>
      <c r="AV7" s="58">
        <v>157</v>
      </c>
      <c r="AW7" s="58">
        <v>196</v>
      </c>
      <c r="AX7" s="62">
        <f t="shared" si="18"/>
        <v>27.576470588235296</v>
      </c>
      <c r="AY7" s="62">
        <f t="shared" si="19"/>
        <v>9</v>
      </c>
      <c r="AZ7" s="62">
        <f t="shared" si="20"/>
        <v>21.757679180887372</v>
      </c>
      <c r="BA7" s="62">
        <f t="shared" si="21"/>
        <v>66.666666666666671</v>
      </c>
      <c r="BB7" s="3"/>
      <c r="BC7" s="63" t="s">
        <v>78</v>
      </c>
      <c r="BD7" s="58">
        <f t="shared" si="22"/>
        <v>879</v>
      </c>
      <c r="BE7" s="58">
        <f t="shared" si="23"/>
        <v>1379.4</v>
      </c>
      <c r="BF7" s="58" t="e" vm="1">
        <f>'[1]4 - Flächen'!AJ7</f>
        <v>#VALUE!</v>
      </c>
      <c r="BG7" s="58" t="e" vm="2">
        <f t="shared" si="24"/>
        <v>#VALUE!</v>
      </c>
      <c r="BH7" s="58">
        <f t="shared" si="25"/>
        <v>439.5</v>
      </c>
      <c r="BI7" s="58" t="e" vm="2">
        <f t="shared" si="26"/>
        <v>#VALUE!</v>
      </c>
      <c r="BJ7" s="63">
        <f t="shared" si="27"/>
        <v>18</v>
      </c>
      <c r="BK7" s="64">
        <v>0.2</v>
      </c>
      <c r="BL7" s="58">
        <f t="shared" si="28"/>
        <v>281.28000000000003</v>
      </c>
      <c r="BM7" s="58">
        <f t="shared" si="29"/>
        <v>324</v>
      </c>
      <c r="BN7" s="58">
        <f t="shared" si="30"/>
        <v>687.6</v>
      </c>
      <c r="BO7" s="58">
        <f t="shared" si="31"/>
        <v>72</v>
      </c>
      <c r="BP7" s="58" cm="1">
        <f t="array" ref="BP7">BE7 - _xlfn.IFS(
    _xlfn.XOR(Y7 &lt; 2.5, Y7 = 2.5), 0.5 * AH7,
    _xlfn.XOR(Y7 &lt; 2.5, Y7 = 2.5) = FALSE, 0
)</f>
        <v>939.90000000000009</v>
      </c>
      <c r="BQ7" s="58">
        <f t="shared" si="32"/>
        <v>13.5</v>
      </c>
      <c r="BR7" s="58" t="e" vm="1">
        <f>'[1]4 - Flächen'!AI7</f>
        <v>#VALUE!</v>
      </c>
      <c r="BS7" s="26"/>
      <c r="BT7" s="58">
        <f t="shared" si="33"/>
        <v>421.92</v>
      </c>
      <c r="BU7" s="58">
        <f t="shared" si="34"/>
        <v>8255.5680000000011</v>
      </c>
      <c r="BV7" s="58">
        <f t="shared" si="35"/>
        <v>513</v>
      </c>
      <c r="BW7" s="58">
        <f t="shared" si="36"/>
        <v>252</v>
      </c>
      <c r="BX7" s="58"/>
      <c r="BY7" s="58">
        <f t="shared" si="37"/>
        <v>0</v>
      </c>
      <c r="BZ7" s="30"/>
      <c r="CA7" s="65">
        <f t="shared" si="38"/>
        <v>17658.758400000002</v>
      </c>
      <c r="CB7" s="65">
        <v>15</v>
      </c>
      <c r="CC7" s="65">
        <f t="shared" si="39"/>
        <v>21111</v>
      </c>
      <c r="CD7" s="66">
        <f t="shared" si="40"/>
        <v>11.104870223503966</v>
      </c>
      <c r="CE7" s="67">
        <f t="shared" si="41"/>
        <v>0.22389281265499997</v>
      </c>
      <c r="CF7" s="65" t="e">
        <f t="shared" si="42"/>
        <v>#DIV/0!</v>
      </c>
      <c r="CG7" s="65">
        <f>0.4713532898*AC7</f>
        <v>828.63908346840003</v>
      </c>
      <c r="CH7" s="68">
        <v>30</v>
      </c>
      <c r="CI7" s="65">
        <f t="shared" si="43"/>
        <v>42207</v>
      </c>
      <c r="CJ7" s="66">
        <f t="shared" si="44"/>
        <v>22.208028118240808</v>
      </c>
      <c r="CK7" s="67">
        <f t="shared" si="45"/>
        <v>0.25415231392499998</v>
      </c>
      <c r="CL7" s="65" t="e">
        <f t="shared" si="46"/>
        <v>#DIV/0!</v>
      </c>
      <c r="CM7" s="65">
        <f>0.535057503*AC7</f>
        <v>940.63109027400003</v>
      </c>
      <c r="CN7" s="68">
        <v>70</v>
      </c>
      <c r="CO7" s="65">
        <f t="shared" si="47"/>
        <v>98463</v>
      </c>
      <c r="CP7" s="66">
        <f t="shared" si="48"/>
        <v>51.816449170872389</v>
      </c>
      <c r="CQ7" s="67">
        <f t="shared" si="49"/>
        <v>0.31805801369249997</v>
      </c>
      <c r="CR7" s="65" t="e">
        <f t="shared" si="50"/>
        <v>#DIV/0!</v>
      </c>
      <c r="CS7" s="65">
        <f t="shared" si="85"/>
        <v>1177.1494485714002</v>
      </c>
      <c r="CT7" s="69">
        <v>3.05</v>
      </c>
      <c r="CU7" s="30"/>
      <c r="CV7" s="65">
        <f t="shared" si="51"/>
        <v>17658.758400000002</v>
      </c>
      <c r="CW7" s="65">
        <v>15</v>
      </c>
      <c r="CX7" s="65">
        <f t="shared" si="52"/>
        <v>21111</v>
      </c>
      <c r="CY7" s="66">
        <f t="shared" si="53"/>
        <v>11.104870223503966</v>
      </c>
      <c r="CZ7" s="67">
        <f t="shared" si="54"/>
        <v>2.1001092809799995</v>
      </c>
      <c r="DA7" s="65" t="e">
        <f t="shared" si="55"/>
        <v>#DIV/0!</v>
      </c>
      <c r="DB7" s="65">
        <f>4.4212826968*AC7</f>
        <v>7772.6149809743993</v>
      </c>
      <c r="DC7" s="68">
        <v>30</v>
      </c>
      <c r="DD7" s="65">
        <f t="shared" si="56"/>
        <v>42207</v>
      </c>
      <c r="DE7" s="66">
        <f t="shared" si="57"/>
        <v>22.208028118240808</v>
      </c>
      <c r="DF7" s="67">
        <f t="shared" si="58"/>
        <v>2.1427600844499999</v>
      </c>
      <c r="DG7" s="65" t="e">
        <f t="shared" si="59"/>
        <v>#DIV/0!</v>
      </c>
      <c r="DH7" s="65">
        <f>4.511073862*AC7</f>
        <v>7930.467849396</v>
      </c>
      <c r="DI7" s="68">
        <v>70</v>
      </c>
      <c r="DJ7" s="65">
        <f t="shared" si="60"/>
        <v>98463</v>
      </c>
      <c r="DK7" s="66">
        <f t="shared" si="61"/>
        <v>51.816449170872389</v>
      </c>
      <c r="DL7" s="67">
        <f t="shared" si="62"/>
        <v>2.2396227623699998</v>
      </c>
      <c r="DM7" s="65" t="e">
        <f t="shared" si="63"/>
        <v>#DIV/0!</v>
      </c>
      <c r="DN7" s="65">
        <f>4.7149952892*AC7</f>
        <v>8288.9617184136005</v>
      </c>
      <c r="DO7" s="69">
        <v>3.9</v>
      </c>
      <c r="DP7" s="7"/>
      <c r="DQ7" s="65">
        <f t="shared" si="64"/>
        <v>17658.758400000002</v>
      </c>
      <c r="DR7" s="65">
        <v>15</v>
      </c>
      <c r="DS7" s="65">
        <f t="shared" si="65"/>
        <v>21111</v>
      </c>
      <c r="DT7" s="66">
        <f t="shared" si="66"/>
        <v>11.104870223503966</v>
      </c>
      <c r="DU7" s="67">
        <f t="shared" si="67"/>
        <v>0.18550026790500002</v>
      </c>
      <c r="DV7" s="65">
        <f t="shared" si="68"/>
        <v>12.338744692782184</v>
      </c>
      <c r="DW7" s="65">
        <f>0.738309524*AC7</f>
        <v>1297.9481431920001</v>
      </c>
      <c r="DX7" s="68">
        <v>30</v>
      </c>
      <c r="DY7" s="65">
        <f t="shared" si="69"/>
        <v>42207</v>
      </c>
      <c r="DZ7" s="66">
        <f t="shared" si="70"/>
        <v>22.208028118240808</v>
      </c>
      <c r="EA7" s="67">
        <f t="shared" si="71"/>
        <v>0.19565780370899996</v>
      </c>
      <c r="EB7" s="65">
        <f t="shared" si="72"/>
        <v>24.675586798045341</v>
      </c>
      <c r="EC7" s="65">
        <f>0.7787375272*AC7</f>
        <v>1369.0205728175999</v>
      </c>
      <c r="ED7" s="68">
        <v>70</v>
      </c>
      <c r="EE7" s="65">
        <f t="shared" si="73"/>
        <v>98463</v>
      </c>
      <c r="EF7" s="66">
        <f t="shared" si="74"/>
        <v>51.816449170872389</v>
      </c>
      <c r="EG7" s="67">
        <f t="shared" si="75"/>
        <v>0.215726228543625</v>
      </c>
      <c r="EH7" s="65">
        <f t="shared" si="76"/>
        <v>57.573832412080428</v>
      </c>
      <c r="EI7" s="65">
        <f>0.8586118549*AC7</f>
        <v>1509.4396409142</v>
      </c>
      <c r="EJ7" s="69">
        <v>3.9</v>
      </c>
    </row>
    <row r="8" spans="1:140">
      <c r="A8" s="48" t="str">
        <f t="shared" si="0"/>
        <v>EmWe</v>
      </c>
      <c r="B8" s="49">
        <v>6</v>
      </c>
      <c r="C8" s="48" t="s">
        <v>75</v>
      </c>
      <c r="D8" s="48" t="s">
        <v>81</v>
      </c>
      <c r="E8" s="48" t="s">
        <v>80</v>
      </c>
      <c r="F8" s="20"/>
      <c r="G8" s="50">
        <v>10000</v>
      </c>
      <c r="H8" s="51">
        <v>8493</v>
      </c>
      <c r="I8" s="51">
        <v>764</v>
      </c>
      <c r="J8" s="51">
        <v>423</v>
      </c>
      <c r="K8" s="51">
        <v>320</v>
      </c>
      <c r="L8" s="51">
        <v>781</v>
      </c>
      <c r="M8" s="52">
        <f t="shared" si="77"/>
        <v>120</v>
      </c>
      <c r="N8" s="53">
        <f t="shared" si="1"/>
        <v>9.01E-2</v>
      </c>
      <c r="O8" s="179"/>
      <c r="P8" s="180"/>
      <c r="Q8" s="52">
        <f t="shared" si="2"/>
        <v>390.5</v>
      </c>
      <c r="R8" s="52">
        <f t="shared" si="3"/>
        <v>312.40000000000003</v>
      </c>
      <c r="S8" s="52">
        <f t="shared" si="4"/>
        <v>1171.5</v>
      </c>
      <c r="T8" s="25"/>
      <c r="U8" s="55">
        <f t="shared" si="5"/>
        <v>901</v>
      </c>
      <c r="V8" s="56">
        <f t="shared" si="6"/>
        <v>9.01E-2</v>
      </c>
      <c r="W8" s="56">
        <f t="shared" si="7"/>
        <v>0.16819999999999999</v>
      </c>
      <c r="X8" s="32"/>
      <c r="Y8" s="57">
        <v>2</v>
      </c>
      <c r="Z8" s="58">
        <f t="shared" si="8"/>
        <v>1682</v>
      </c>
      <c r="AA8" s="58">
        <f t="shared" si="9"/>
        <v>1345.6000000000001</v>
      </c>
      <c r="AB8" s="58">
        <f t="shared" si="10"/>
        <v>1952.5</v>
      </c>
      <c r="AC8" s="58">
        <f t="shared" si="11"/>
        <v>1562</v>
      </c>
      <c r="AD8" s="58">
        <f t="shared" si="12"/>
        <v>1249.6000000000001</v>
      </c>
      <c r="AE8" s="58">
        <f t="shared" si="13"/>
        <v>20</v>
      </c>
      <c r="AF8" s="58">
        <f t="shared" si="78"/>
        <v>1229.6000000000001</v>
      </c>
      <c r="AG8" s="30"/>
      <c r="AH8" s="58">
        <f t="shared" si="14"/>
        <v>781</v>
      </c>
      <c r="AI8" s="51">
        <f>110.5*8</f>
        <v>884</v>
      </c>
      <c r="AJ8" s="51">
        <f>260.8*8</f>
        <v>2086.4</v>
      </c>
      <c r="AK8" s="58">
        <f t="shared" si="15"/>
        <v>3751.4</v>
      </c>
      <c r="AL8" s="51">
        <f>707.7*8</f>
        <v>5661.6</v>
      </c>
      <c r="AM8" s="59">
        <f t="shared" si="16"/>
        <v>0.66260421082379539</v>
      </c>
      <c r="AN8" s="32"/>
      <c r="AO8" s="50">
        <v>90</v>
      </c>
      <c r="AP8" s="60">
        <v>100</v>
      </c>
      <c r="AQ8" s="55">
        <f t="shared" si="17"/>
        <v>190</v>
      </c>
      <c r="AR8" s="34"/>
      <c r="AS8" s="55">
        <v>8</v>
      </c>
      <c r="AT8" s="20"/>
      <c r="AU8" s="58">
        <v>51</v>
      </c>
      <c r="AV8" s="58">
        <v>157</v>
      </c>
      <c r="AW8" s="58">
        <v>196</v>
      </c>
      <c r="AX8" s="62">
        <f t="shared" si="18"/>
        <v>24.501960784313727</v>
      </c>
      <c r="AY8" s="62">
        <f t="shared" si="19"/>
        <v>8</v>
      </c>
      <c r="AZ8" s="62">
        <f t="shared" si="20"/>
        <v>31.181177976952622</v>
      </c>
      <c r="BA8" s="62">
        <f t="shared" si="21"/>
        <v>95.5</v>
      </c>
      <c r="BB8" s="3"/>
      <c r="BC8" s="63" t="s">
        <v>78</v>
      </c>
      <c r="BD8" s="58">
        <f t="shared" si="22"/>
        <v>781</v>
      </c>
      <c r="BE8" s="58">
        <f t="shared" si="23"/>
        <v>1225.5999999999999</v>
      </c>
      <c r="BF8" s="58" t="e" vm="1">
        <f>'[1]4 - Flächen'!AJ8</f>
        <v>#VALUE!</v>
      </c>
      <c r="BG8" s="58" t="e" vm="2">
        <f t="shared" si="24"/>
        <v>#VALUE!</v>
      </c>
      <c r="BH8" s="58">
        <f t="shared" si="25"/>
        <v>390.5</v>
      </c>
      <c r="BI8" s="58" t="e" vm="2">
        <f t="shared" si="26"/>
        <v>#VALUE!</v>
      </c>
      <c r="BJ8" s="63">
        <f t="shared" si="27"/>
        <v>16</v>
      </c>
      <c r="BK8" s="64">
        <v>0.2</v>
      </c>
      <c r="BL8" s="58">
        <f t="shared" si="28"/>
        <v>249.92000000000004</v>
      </c>
      <c r="BM8" s="58">
        <f t="shared" si="29"/>
        <v>288</v>
      </c>
      <c r="BN8" s="58">
        <f t="shared" si="30"/>
        <v>611.20000000000005</v>
      </c>
      <c r="BO8" s="58">
        <f t="shared" si="31"/>
        <v>64</v>
      </c>
      <c r="BP8" s="58" cm="1">
        <f t="array" ref="BP8">BE8 - _xlfn.IFS(
    _xlfn.XOR(Y8 &lt; 2.5, Y8 = 2.5), 0.5 * AH8,
    _xlfn.XOR(Y8 &lt; 2.5, Y8 = 2.5) = FALSE, 0
)</f>
        <v>835.09999999999991</v>
      </c>
      <c r="BQ8" s="58">
        <f t="shared" si="32"/>
        <v>12</v>
      </c>
      <c r="BR8" s="58" t="e" vm="1">
        <f>'[1]4 - Flächen'!AI8</f>
        <v>#VALUE!</v>
      </c>
      <c r="BS8" s="26"/>
      <c r="BT8" s="58">
        <f t="shared" si="33"/>
        <v>374.88000000000005</v>
      </c>
      <c r="BU8" s="58">
        <f t="shared" si="34"/>
        <v>7335.152000000001</v>
      </c>
      <c r="BV8" s="58">
        <f t="shared" si="35"/>
        <v>456</v>
      </c>
      <c r="BW8" s="58">
        <f t="shared" si="36"/>
        <v>224</v>
      </c>
      <c r="BX8" s="58"/>
      <c r="BY8" s="58">
        <f t="shared" si="37"/>
        <v>0</v>
      </c>
      <c r="BZ8" s="30"/>
      <c r="CA8" s="65">
        <f t="shared" si="38"/>
        <v>15689.977600000002</v>
      </c>
      <c r="CB8" s="65">
        <v>15</v>
      </c>
      <c r="CC8" s="65">
        <f t="shared" si="39"/>
        <v>18759.000000000004</v>
      </c>
      <c r="CD8" s="66">
        <f t="shared" si="40"/>
        <v>9.8669754866618629</v>
      </c>
      <c r="CE8" s="67">
        <f t="shared" si="41"/>
        <v>0.22395428938749998</v>
      </c>
      <c r="CF8" s="65" t="e">
        <f t="shared" si="42"/>
        <v>#DIV/0!</v>
      </c>
      <c r="CG8" s="65">
        <f>0.4714827145*AC8</f>
        <v>736.45600004900007</v>
      </c>
      <c r="CH8" s="68">
        <v>30</v>
      </c>
      <c r="CI8" s="65">
        <f t="shared" si="43"/>
        <v>37503.000000000007</v>
      </c>
      <c r="CJ8" s="66">
        <f t="shared" si="44"/>
        <v>19.732238644556602</v>
      </c>
      <c r="CK8" s="67">
        <f t="shared" si="45"/>
        <v>0.25417607556249999</v>
      </c>
      <c r="CL8" s="65" t="e">
        <f t="shared" si="46"/>
        <v>#DIV/0!</v>
      </c>
      <c r="CM8" s="65">
        <f>0.5351075275*AC8</f>
        <v>835.83795795499998</v>
      </c>
      <c r="CN8" s="68">
        <v>70</v>
      </c>
      <c r="CO8" s="65">
        <f t="shared" si="47"/>
        <v>87487.000000000015</v>
      </c>
      <c r="CP8" s="66">
        <f t="shared" si="48"/>
        <v>46.039607065609239</v>
      </c>
      <c r="CQ8" s="67">
        <f t="shared" si="49"/>
        <v>0.3181008004575</v>
      </c>
      <c r="CR8" s="65" t="e">
        <f t="shared" si="50"/>
        <v>#DIV/0!</v>
      </c>
      <c r="CS8" s="65">
        <f>0.6696858957*AC8</f>
        <v>1046.0493690834001</v>
      </c>
      <c r="CT8" s="69">
        <v>3.05</v>
      </c>
      <c r="CU8" s="30"/>
      <c r="CV8" s="65">
        <f t="shared" si="51"/>
        <v>15689.977600000002</v>
      </c>
      <c r="CW8" s="65">
        <v>15</v>
      </c>
      <c r="CX8" s="65">
        <f t="shared" si="52"/>
        <v>18759.000000000004</v>
      </c>
      <c r="CY8" s="66">
        <f t="shared" si="53"/>
        <v>9.8669754866618629</v>
      </c>
      <c r="CZ8" s="67">
        <f t="shared" si="54"/>
        <v>2.1023903679224998</v>
      </c>
      <c r="DA8" s="65" t="e">
        <f t="shared" si="55"/>
        <v>#DIV/0!</v>
      </c>
      <c r="DB8" s="65">
        <f>4.4260849851*AC8</f>
        <v>6913.5447467262002</v>
      </c>
      <c r="DC8" s="68">
        <v>30</v>
      </c>
      <c r="DD8" s="65">
        <f t="shared" si="56"/>
        <v>37503.000000000007</v>
      </c>
      <c r="DE8" s="66">
        <f t="shared" si="57"/>
        <v>19.732238644556602</v>
      </c>
      <c r="DF8" s="67">
        <f t="shared" si="58"/>
        <v>2.1449523686225</v>
      </c>
      <c r="DG8" s="65" t="e">
        <f t="shared" si="59"/>
        <v>#DIV/0!</v>
      </c>
      <c r="DH8" s="65">
        <f>4.5156891971*AC8</f>
        <v>7053.5065258702007</v>
      </c>
      <c r="DI8" s="68">
        <v>70</v>
      </c>
      <c r="DJ8" s="65">
        <f t="shared" si="60"/>
        <v>87487.000000000015</v>
      </c>
      <c r="DK8" s="66">
        <f t="shared" si="61"/>
        <v>46.039607065609239</v>
      </c>
      <c r="DL8" s="67">
        <f t="shared" si="62"/>
        <v>2.2418699167849998</v>
      </c>
      <c r="DM8" s="65" t="e">
        <f t="shared" si="63"/>
        <v>#DIV/0!</v>
      </c>
      <c r="DN8" s="65">
        <f>4.7197261406*AC8</f>
        <v>7372.2122316171999</v>
      </c>
      <c r="DO8" s="69">
        <v>3.9</v>
      </c>
      <c r="DP8" s="7"/>
      <c r="DQ8" s="65">
        <f t="shared" si="64"/>
        <v>15689.977600000002</v>
      </c>
      <c r="DR8" s="65">
        <v>15</v>
      </c>
      <c r="DS8" s="65">
        <f t="shared" si="65"/>
        <v>18759.000000000004</v>
      </c>
      <c r="DT8" s="66">
        <f t="shared" si="66"/>
        <v>9.8669754866618629</v>
      </c>
      <c r="DU8" s="67">
        <f t="shared" si="67"/>
        <v>0.18559013241712499</v>
      </c>
      <c r="DV8" s="65">
        <f t="shared" si="68"/>
        <v>10.963306096290959</v>
      </c>
      <c r="DW8" s="65">
        <f>0.7386671937*AC8</f>
        <v>1153.7981565594</v>
      </c>
      <c r="DX8" s="68">
        <v>30</v>
      </c>
      <c r="DY8" s="65">
        <f t="shared" si="69"/>
        <v>37503.000000000007</v>
      </c>
      <c r="DZ8" s="66">
        <f t="shared" si="70"/>
        <v>19.732238644556602</v>
      </c>
      <c r="EA8" s="67">
        <f t="shared" si="71"/>
        <v>0.19575183007687499</v>
      </c>
      <c r="EB8" s="65">
        <f t="shared" si="72"/>
        <v>21.92470960506289</v>
      </c>
      <c r="EC8" s="65">
        <f>0.7791117615*AC8</f>
        <v>1216.9725714630001</v>
      </c>
      <c r="ED8" s="68">
        <v>70</v>
      </c>
      <c r="EE8" s="65">
        <f t="shared" si="73"/>
        <v>87487.000000000015</v>
      </c>
      <c r="EF8" s="66">
        <f t="shared" si="74"/>
        <v>46.039607065609239</v>
      </c>
      <c r="EG8" s="67">
        <f t="shared" si="75"/>
        <v>0.21582847757024998</v>
      </c>
      <c r="EH8" s="65">
        <f t="shared" si="76"/>
        <v>51.155118961788041</v>
      </c>
      <c r="EI8" s="65">
        <f>0.8590188162*AC8</f>
        <v>1341.7873909043999</v>
      </c>
      <c r="EJ8" s="69">
        <v>3.9</v>
      </c>
    </row>
    <row r="9" spans="1:140">
      <c r="A9" s="70" t="str">
        <f t="shared" si="0"/>
        <v>EhKr</v>
      </c>
      <c r="B9" s="71">
        <v>7</v>
      </c>
      <c r="C9" s="70" t="s">
        <v>75</v>
      </c>
      <c r="D9" s="70" t="s">
        <v>82</v>
      </c>
      <c r="E9" s="70" t="s">
        <v>77</v>
      </c>
      <c r="F9" s="20"/>
      <c r="G9" s="72">
        <v>10000</v>
      </c>
      <c r="H9" s="73">
        <v>7225</v>
      </c>
      <c r="I9" s="73">
        <v>1164</v>
      </c>
      <c r="J9" s="73">
        <v>931</v>
      </c>
      <c r="K9" s="73">
        <v>680</v>
      </c>
      <c r="L9" s="74">
        <f>97.65*14</f>
        <v>1367.1000000000001</v>
      </c>
      <c r="M9" s="72">
        <f t="shared" si="77"/>
        <v>210</v>
      </c>
      <c r="N9" s="75">
        <f t="shared" si="1"/>
        <v>0.15771000000000002</v>
      </c>
      <c r="O9" s="76"/>
      <c r="P9" s="181"/>
      <c r="Q9" s="72">
        <f t="shared" si="2"/>
        <v>683.55000000000007</v>
      </c>
      <c r="R9" s="72">
        <f t="shared" si="3"/>
        <v>546.84</v>
      </c>
      <c r="S9" s="72">
        <f t="shared" si="4"/>
        <v>2050.65</v>
      </c>
      <c r="T9" s="25"/>
      <c r="U9" s="77">
        <f t="shared" si="5"/>
        <v>1577.1000000000001</v>
      </c>
      <c r="V9" s="78">
        <f t="shared" si="6"/>
        <v>0.15771000000000002</v>
      </c>
      <c r="W9" s="78">
        <f t="shared" si="7"/>
        <v>0.36277500000000007</v>
      </c>
      <c r="X9" s="32"/>
      <c r="Y9" s="79">
        <v>2.5</v>
      </c>
      <c r="Z9" s="77">
        <f t="shared" si="8"/>
        <v>3627.7500000000005</v>
      </c>
      <c r="AA9" s="77">
        <f t="shared" si="9"/>
        <v>2902.2000000000007</v>
      </c>
      <c r="AB9" s="77">
        <f t="shared" si="10"/>
        <v>4101.3</v>
      </c>
      <c r="AC9" s="77">
        <f t="shared" si="11"/>
        <v>3281.0400000000004</v>
      </c>
      <c r="AD9" s="77">
        <f t="shared" si="12"/>
        <v>2734.2000000000007</v>
      </c>
      <c r="AE9" s="77">
        <f t="shared" si="13"/>
        <v>35</v>
      </c>
      <c r="AF9" s="77">
        <f t="shared" si="78"/>
        <v>2699.2000000000007</v>
      </c>
      <c r="AG9" s="30"/>
      <c r="AH9" s="77">
        <f t="shared" si="14"/>
        <v>1367.1000000000001</v>
      </c>
      <c r="AI9" s="73">
        <f>135.7*12</f>
        <v>1628.3999999999999</v>
      </c>
      <c r="AJ9" s="77">
        <f>279.4*12</f>
        <v>3352.7999999999997</v>
      </c>
      <c r="AK9" s="77">
        <f t="shared" si="15"/>
        <v>6348.2999999999993</v>
      </c>
      <c r="AL9" s="77">
        <f>805.4*12</f>
        <v>9664.7999999999993</v>
      </c>
      <c r="AM9" s="80">
        <f t="shared" si="16"/>
        <v>0.65684752917804812</v>
      </c>
      <c r="AN9" s="32"/>
      <c r="AO9" s="72">
        <v>200</v>
      </c>
      <c r="AP9" s="81">
        <v>175</v>
      </c>
      <c r="AQ9" s="82">
        <f t="shared" si="17"/>
        <v>375</v>
      </c>
      <c r="AR9" s="34"/>
      <c r="AS9" s="82">
        <v>14</v>
      </c>
      <c r="AT9" s="20"/>
      <c r="AU9" s="77">
        <v>51</v>
      </c>
      <c r="AV9" s="77">
        <v>157</v>
      </c>
      <c r="AW9" s="77">
        <v>196</v>
      </c>
      <c r="AX9" s="83">
        <f t="shared" si="18"/>
        <v>53.611764705882365</v>
      </c>
      <c r="AY9" s="83">
        <f t="shared" si="19"/>
        <v>14</v>
      </c>
      <c r="AZ9" s="83">
        <f t="shared" si="20"/>
        <v>21.711652402896636</v>
      </c>
      <c r="BA9" s="83">
        <f t="shared" si="21"/>
        <v>83.142857142857139</v>
      </c>
      <c r="BB9" s="3"/>
      <c r="BC9" s="84" t="s">
        <v>78</v>
      </c>
      <c r="BD9" s="77">
        <f t="shared" si="22"/>
        <v>1367.1000000000001</v>
      </c>
      <c r="BE9" s="77">
        <f t="shared" si="23"/>
        <v>2678.2000000000003</v>
      </c>
      <c r="BF9" s="77" t="e" vm="1">
        <f>'[1]4 - Flächen'!AJ9</f>
        <v>#VALUE!</v>
      </c>
      <c r="BG9" s="77" t="e" vm="2">
        <f t="shared" si="24"/>
        <v>#VALUE!</v>
      </c>
      <c r="BH9" s="77">
        <f t="shared" si="25"/>
        <v>683.55000000000007</v>
      </c>
      <c r="BI9" s="77" t="e" vm="2">
        <f t="shared" si="26"/>
        <v>#VALUE!</v>
      </c>
      <c r="BJ9" s="84">
        <f t="shared" si="27"/>
        <v>28</v>
      </c>
      <c r="BK9" s="85">
        <v>0.2</v>
      </c>
      <c r="BL9" s="77">
        <f t="shared" si="28"/>
        <v>546.84000000000015</v>
      </c>
      <c r="BM9" s="77">
        <f t="shared" si="29"/>
        <v>504</v>
      </c>
      <c r="BN9" s="77">
        <f t="shared" si="30"/>
        <v>1069.6000000000001</v>
      </c>
      <c r="BO9" s="77">
        <f t="shared" si="31"/>
        <v>112</v>
      </c>
      <c r="BP9" s="77" cm="1">
        <f t="array" ref="BP9">BE9 - _xlfn.IFS(
    _xlfn.XOR(Y9 &lt; 2.5, Y9 = 2.5), 0.5 * AH9,
    _xlfn.XOR(Y9 &lt; 2.5, Y9 = 2.5) = FALSE, 0
)</f>
        <v>1994.65</v>
      </c>
      <c r="BQ9" s="77">
        <f t="shared" si="32"/>
        <v>28</v>
      </c>
      <c r="BR9" s="77" t="e" vm="1">
        <f>'[1]4 - Flächen'!AI9</f>
        <v>#VALUE!</v>
      </c>
      <c r="BS9" s="26"/>
      <c r="BT9" s="77">
        <f t="shared" si="33"/>
        <v>820.26000000000022</v>
      </c>
      <c r="BU9" s="77">
        <f t="shared" si="34"/>
        <v>16049.754000000004</v>
      </c>
      <c r="BV9" s="77">
        <f t="shared" si="35"/>
        <v>798</v>
      </c>
      <c r="BW9" s="77">
        <f t="shared" si="36"/>
        <v>392</v>
      </c>
      <c r="BX9" s="58"/>
      <c r="BY9" s="58">
        <f t="shared" si="37"/>
        <v>0</v>
      </c>
      <c r="BZ9" s="30"/>
      <c r="CA9" s="86">
        <f t="shared" si="38"/>
        <v>34330.615200000007</v>
      </c>
      <c r="CB9" s="86">
        <v>15</v>
      </c>
      <c r="CC9" s="86">
        <f t="shared" si="39"/>
        <v>41028.000000000015</v>
      </c>
      <c r="CD9" s="87">
        <f t="shared" si="40"/>
        <v>21.587501802451342</v>
      </c>
      <c r="CE9" s="88">
        <f t="shared" si="41"/>
        <v>0.20405744421119998</v>
      </c>
      <c r="CF9" s="86" t="e">
        <f t="shared" si="42"/>
        <v>#DIV/0!</v>
      </c>
      <c r="CG9" s="86">
        <f>0.4474943952*AC9</f>
        <v>1468.2470104270083</v>
      </c>
      <c r="CH9" s="89">
        <v>30</v>
      </c>
      <c r="CI9" s="86">
        <f t="shared" si="43"/>
        <v>82041.000000000029</v>
      </c>
      <c r="CJ9" s="87">
        <f t="shared" si="44"/>
        <v>43.173291276135565</v>
      </c>
      <c r="CK9" s="88">
        <f t="shared" si="45"/>
        <v>0.23001512432879997</v>
      </c>
      <c r="CL9" s="86" t="e">
        <f t="shared" si="46"/>
        <v>#DIV/0!</v>
      </c>
      <c r="CM9" s="86">
        <f>0.5044191323*AC9</f>
        <v>1655.0193498415922</v>
      </c>
      <c r="CN9" s="89">
        <v>70</v>
      </c>
      <c r="CO9" s="86">
        <f t="shared" si="47"/>
        <v>191409.00000000006</v>
      </c>
      <c r="CP9" s="87">
        <f t="shared" si="48"/>
        <v>100.73539653929348</v>
      </c>
      <c r="CQ9" s="88">
        <f t="shared" si="49"/>
        <v>0.28588275124799994</v>
      </c>
      <c r="CR9" s="86" t="e">
        <f t="shared" si="50"/>
        <v>#DIV/0!</v>
      </c>
      <c r="CS9" s="86">
        <f>0.626935858*AC9</f>
        <v>2057.0016275323201</v>
      </c>
      <c r="CT9" s="90">
        <v>3.05</v>
      </c>
      <c r="CU9" s="30"/>
      <c r="CV9" s="86">
        <f t="shared" si="51"/>
        <v>34330.615200000007</v>
      </c>
      <c r="CW9" s="86">
        <v>15</v>
      </c>
      <c r="CX9" s="86">
        <f t="shared" si="52"/>
        <v>41028.000000000015</v>
      </c>
      <c r="CY9" s="87">
        <f t="shared" si="53"/>
        <v>21.587501802451342</v>
      </c>
      <c r="CZ9" s="88">
        <f t="shared" si="54"/>
        <v>1.7976058287479999</v>
      </c>
      <c r="DA9" s="86" t="e">
        <f t="shared" si="55"/>
        <v>#DIV/0!</v>
      </c>
      <c r="DB9" s="86">
        <f>3.9421180455*AC9</f>
        <v>12934.246992007322</v>
      </c>
      <c r="DC9" s="89">
        <v>30</v>
      </c>
      <c r="DD9" s="86">
        <f t="shared" si="56"/>
        <v>82041.000000000029</v>
      </c>
      <c r="DE9" s="87">
        <f t="shared" si="57"/>
        <v>43.173291276135565</v>
      </c>
      <c r="DF9" s="88">
        <f t="shared" si="58"/>
        <v>1.8354353175191997</v>
      </c>
      <c r="DG9" s="86" t="e">
        <f t="shared" si="59"/>
        <v>#DIV/0!</v>
      </c>
      <c r="DH9" s="86">
        <f>4.0250774507*AC9</f>
        <v>13206.440118844728</v>
      </c>
      <c r="DI9" s="89">
        <v>70</v>
      </c>
      <c r="DJ9" s="86">
        <f t="shared" si="60"/>
        <v>191409.00000000006</v>
      </c>
      <c r="DK9" s="87">
        <f t="shared" si="61"/>
        <v>100.73539653929348</v>
      </c>
      <c r="DL9" s="88">
        <f t="shared" si="62"/>
        <v>1.9229431673711996</v>
      </c>
      <c r="DM9" s="86" t="e">
        <f t="shared" si="63"/>
        <v>#DIV/0!</v>
      </c>
      <c r="DN9" s="86">
        <f>4.2169806302*AC9</f>
        <v>13836.082126911409</v>
      </c>
      <c r="DO9" s="90">
        <v>3.9</v>
      </c>
      <c r="DP9" s="7"/>
      <c r="DQ9" s="86">
        <f t="shared" si="64"/>
        <v>34330.615200000007</v>
      </c>
      <c r="DR9" s="86">
        <v>15</v>
      </c>
      <c r="DS9" s="86">
        <f t="shared" si="65"/>
        <v>41028.000000000015</v>
      </c>
      <c r="DT9" s="87">
        <f t="shared" si="66"/>
        <v>21.587501802451342</v>
      </c>
      <c r="DU9" s="88">
        <f t="shared" si="67"/>
        <v>0.16251160824791999</v>
      </c>
      <c r="DV9" s="86">
        <f t="shared" si="68"/>
        <v>23.986113113834826</v>
      </c>
      <c r="DW9" s="86">
        <f>0.6737628866*AC9</f>
        <v>2210.6429814500643</v>
      </c>
      <c r="DX9" s="89">
        <v>30</v>
      </c>
      <c r="DY9" s="86">
        <f t="shared" si="69"/>
        <v>82041.000000000029</v>
      </c>
      <c r="DZ9" s="87">
        <f t="shared" si="70"/>
        <v>43.173291276135565</v>
      </c>
      <c r="EA9" s="88">
        <f t="shared" si="71"/>
        <v>0.17063888513327999</v>
      </c>
      <c r="EB9" s="86">
        <f t="shared" si="72"/>
        <v>47.970323640150625</v>
      </c>
      <c r="EC9" s="86">
        <f>0.7074580644*AC9</f>
        <v>2321.1982076189765</v>
      </c>
      <c r="ED9" s="89">
        <v>70</v>
      </c>
      <c r="EE9" s="86">
        <f t="shared" si="73"/>
        <v>191409.00000000006</v>
      </c>
      <c r="EF9" s="87">
        <f t="shared" si="74"/>
        <v>100.73539653929348</v>
      </c>
      <c r="EG9" s="88">
        <f t="shared" si="75"/>
        <v>0.18850902764291996</v>
      </c>
      <c r="EH9" s="86">
        <f t="shared" si="76"/>
        <v>111.92821837699275</v>
      </c>
      <c r="EI9" s="86">
        <f>0.7815465491*AC9</f>
        <v>2564.2854894590641</v>
      </c>
      <c r="EJ9" s="90">
        <v>3.9</v>
      </c>
    </row>
    <row r="10" spans="1:140">
      <c r="A10" s="70" t="str">
        <f t="shared" si="0"/>
        <v>EhKu</v>
      </c>
      <c r="B10" s="71">
        <v>8</v>
      </c>
      <c r="C10" s="70" t="s">
        <v>75</v>
      </c>
      <c r="D10" s="70" t="s">
        <v>82</v>
      </c>
      <c r="E10" s="70" t="s">
        <v>79</v>
      </c>
      <c r="F10" s="20"/>
      <c r="G10" s="72">
        <v>10000</v>
      </c>
      <c r="H10" s="73">
        <v>8500</v>
      </c>
      <c r="I10" s="73">
        <v>600</v>
      </c>
      <c r="J10" s="73">
        <v>560</v>
      </c>
      <c r="K10" s="73">
        <v>340</v>
      </c>
      <c r="L10" s="73">
        <f>97.65*10</f>
        <v>976.5</v>
      </c>
      <c r="M10" s="72">
        <f t="shared" si="77"/>
        <v>150</v>
      </c>
      <c r="N10" s="75">
        <f t="shared" si="1"/>
        <v>0.11265</v>
      </c>
      <c r="O10" s="177"/>
      <c r="P10" s="181"/>
      <c r="Q10" s="72">
        <f t="shared" si="2"/>
        <v>488.25</v>
      </c>
      <c r="R10" s="72">
        <f t="shared" si="3"/>
        <v>390.6</v>
      </c>
      <c r="S10" s="72">
        <f t="shared" si="4"/>
        <v>1464.75</v>
      </c>
      <c r="T10" s="25"/>
      <c r="U10" s="77">
        <f t="shared" si="5"/>
        <v>1126.5</v>
      </c>
      <c r="V10" s="78">
        <f t="shared" si="6"/>
        <v>0.11265</v>
      </c>
      <c r="W10" s="78">
        <f t="shared" si="7"/>
        <v>0.25912499999999999</v>
      </c>
      <c r="X10" s="32"/>
      <c r="Y10" s="79">
        <v>2.5</v>
      </c>
      <c r="Z10" s="77">
        <f t="shared" si="8"/>
        <v>2591.25</v>
      </c>
      <c r="AA10" s="77">
        <f t="shared" si="9"/>
        <v>2073</v>
      </c>
      <c r="AB10" s="77">
        <f t="shared" si="10"/>
        <v>2929.5</v>
      </c>
      <c r="AC10" s="77">
        <f t="shared" si="11"/>
        <v>2343.6</v>
      </c>
      <c r="AD10" s="77">
        <f t="shared" si="12"/>
        <v>1953</v>
      </c>
      <c r="AE10" s="77">
        <f t="shared" si="13"/>
        <v>25</v>
      </c>
      <c r="AF10" s="77">
        <f t="shared" si="78"/>
        <v>1928</v>
      </c>
      <c r="AG10" s="30"/>
      <c r="AH10" s="77">
        <f t="shared" si="14"/>
        <v>976.5</v>
      </c>
      <c r="AI10" s="73">
        <f>135.7*10</f>
        <v>1357</v>
      </c>
      <c r="AJ10" s="77">
        <f>279.4*10</f>
        <v>2794</v>
      </c>
      <c r="AK10" s="77">
        <f t="shared" si="15"/>
        <v>5127.5</v>
      </c>
      <c r="AL10" s="77">
        <f>805.4*10</f>
        <v>8054</v>
      </c>
      <c r="AM10" s="80">
        <f t="shared" si="16"/>
        <v>0.63664017879314627</v>
      </c>
      <c r="AN10" s="32"/>
      <c r="AO10" s="72">
        <v>100</v>
      </c>
      <c r="AP10" s="81">
        <v>175</v>
      </c>
      <c r="AQ10" s="82">
        <f t="shared" si="17"/>
        <v>275</v>
      </c>
      <c r="AR10" s="34"/>
      <c r="AS10" s="82">
        <v>10</v>
      </c>
      <c r="AT10" s="20"/>
      <c r="AU10" s="77">
        <v>51</v>
      </c>
      <c r="AV10" s="77">
        <v>157</v>
      </c>
      <c r="AW10" s="77">
        <v>196</v>
      </c>
      <c r="AX10" s="83">
        <f t="shared" si="18"/>
        <v>38.294117647058826</v>
      </c>
      <c r="AY10" s="83">
        <f t="shared" si="19"/>
        <v>10</v>
      </c>
      <c r="AZ10" s="83">
        <f t="shared" si="20"/>
        <v>15.668202764976957</v>
      </c>
      <c r="BA10" s="83">
        <f t="shared" si="21"/>
        <v>60</v>
      </c>
      <c r="BB10" s="3"/>
      <c r="BC10" s="84" t="s">
        <v>78</v>
      </c>
      <c r="BD10" s="77">
        <f t="shared" si="22"/>
        <v>976.5</v>
      </c>
      <c r="BE10" s="77">
        <f t="shared" si="23"/>
        <v>1913</v>
      </c>
      <c r="BF10" s="77" t="e" vm="1">
        <f>'[1]4 - Flächen'!AJ10</f>
        <v>#VALUE!</v>
      </c>
      <c r="BG10" s="77" t="e" vm="2">
        <f t="shared" si="24"/>
        <v>#VALUE!</v>
      </c>
      <c r="BH10" s="77">
        <f t="shared" si="25"/>
        <v>488.25</v>
      </c>
      <c r="BI10" s="77" t="e" vm="2">
        <f t="shared" si="26"/>
        <v>#VALUE!</v>
      </c>
      <c r="BJ10" s="84">
        <f t="shared" si="27"/>
        <v>20</v>
      </c>
      <c r="BK10" s="85">
        <v>0.2</v>
      </c>
      <c r="BL10" s="77">
        <f t="shared" si="28"/>
        <v>390.6</v>
      </c>
      <c r="BM10" s="77">
        <f t="shared" si="29"/>
        <v>360</v>
      </c>
      <c r="BN10" s="77">
        <f t="shared" si="30"/>
        <v>764</v>
      </c>
      <c r="BO10" s="77">
        <f t="shared" si="31"/>
        <v>80</v>
      </c>
      <c r="BP10" s="77" cm="1">
        <f t="array" ref="BP10">BE10 - _xlfn.IFS(
    _xlfn.XOR(Y10 &lt; 2.5, Y10 = 2.5), 0.5 * AH10,
    _xlfn.XOR(Y10 &lt; 2.5, Y10 = 2.5) = FALSE, 0
)</f>
        <v>1424.75</v>
      </c>
      <c r="BQ10" s="77">
        <f t="shared" si="32"/>
        <v>20</v>
      </c>
      <c r="BR10" s="77" t="e" vm="1">
        <f>'[1]4 - Flächen'!AI10</f>
        <v>#VALUE!</v>
      </c>
      <c r="BS10" s="26"/>
      <c r="BT10" s="77">
        <f t="shared" si="33"/>
        <v>585.9</v>
      </c>
      <c r="BU10" s="77">
        <f t="shared" si="34"/>
        <v>11464.11</v>
      </c>
      <c r="BV10" s="77">
        <f t="shared" si="35"/>
        <v>570</v>
      </c>
      <c r="BW10" s="77">
        <f t="shared" si="36"/>
        <v>280</v>
      </c>
      <c r="BX10" s="58"/>
      <c r="BY10" s="58">
        <f t="shared" si="37"/>
        <v>0</v>
      </c>
      <c r="BZ10" s="30"/>
      <c r="CA10" s="86">
        <f t="shared" si="38"/>
        <v>24521.867999999999</v>
      </c>
      <c r="CB10" s="86">
        <v>15</v>
      </c>
      <c r="CC10" s="86">
        <f t="shared" si="39"/>
        <v>29310</v>
      </c>
      <c r="CD10" s="87">
        <f t="shared" si="40"/>
        <v>15.420133381398703</v>
      </c>
      <c r="CE10" s="88">
        <f t="shared" si="41"/>
        <v>0.20404405550399998</v>
      </c>
      <c r="CF10" s="86" t="e">
        <f t="shared" si="42"/>
        <v>#DIV/0!</v>
      </c>
      <c r="CG10" s="86">
        <f>0.447465034*AC10</f>
        <v>1048.6790536823999</v>
      </c>
      <c r="CH10" s="89">
        <v>30</v>
      </c>
      <c r="CI10" s="86">
        <f t="shared" si="43"/>
        <v>58605</v>
      </c>
      <c r="CJ10" s="87">
        <f t="shared" si="44"/>
        <v>30.838554434030282</v>
      </c>
      <c r="CK10" s="88">
        <f t="shared" si="45"/>
        <v>0.2299973059464</v>
      </c>
      <c r="CL10" s="86" t="e">
        <f t="shared" si="46"/>
        <v>#DIV/0!</v>
      </c>
      <c r="CM10" s="86">
        <f>0.5043800569*AC10</f>
        <v>1182.06510135084</v>
      </c>
      <c r="CN10" s="89">
        <v>70</v>
      </c>
      <c r="CO10" s="86">
        <f t="shared" si="47"/>
        <v>136725</v>
      </c>
      <c r="CP10" s="87">
        <f t="shared" si="48"/>
        <v>71.954343907714488</v>
      </c>
      <c r="CQ10" s="88">
        <f t="shared" si="49"/>
        <v>0.28579815116400004</v>
      </c>
      <c r="CR10" s="86" t="e">
        <f t="shared" si="50"/>
        <v>#DIV/0!</v>
      </c>
      <c r="CS10" s="86">
        <f>0.6267503315*AC10</f>
        <v>1468.8520769034001</v>
      </c>
      <c r="CT10" s="90">
        <v>3.05</v>
      </c>
      <c r="CU10" s="30"/>
      <c r="CV10" s="86">
        <f t="shared" si="51"/>
        <v>24521.867999999999</v>
      </c>
      <c r="CW10" s="86">
        <v>15</v>
      </c>
      <c r="CX10" s="86">
        <f t="shared" si="52"/>
        <v>29310</v>
      </c>
      <c r="CY10" s="87">
        <f t="shared" si="53"/>
        <v>15.420133381398703</v>
      </c>
      <c r="CZ10" s="88">
        <f t="shared" si="54"/>
        <v>2.0386324528872004</v>
      </c>
      <c r="DA10" s="86" t="e">
        <f t="shared" si="55"/>
        <v>#DIV/0!</v>
      </c>
      <c r="DB10" s="86">
        <f>4.4706852037*AC10</f>
        <v>10477.49784339132</v>
      </c>
      <c r="DC10" s="89">
        <v>30</v>
      </c>
      <c r="DD10" s="86">
        <f t="shared" si="56"/>
        <v>58605</v>
      </c>
      <c r="DE10" s="87">
        <f t="shared" si="57"/>
        <v>30.838554434030282</v>
      </c>
      <c r="DF10" s="88">
        <f t="shared" si="58"/>
        <v>2.0764554861575997</v>
      </c>
      <c r="DG10" s="86" t="e">
        <f t="shared" si="59"/>
        <v>#DIV/0!</v>
      </c>
      <c r="DH10" s="86">
        <f>4.5536304521*AC10</f>
        <v>10671.888327541559</v>
      </c>
      <c r="DI10" s="89">
        <v>70</v>
      </c>
      <c r="DJ10" s="86">
        <f t="shared" si="60"/>
        <v>136725</v>
      </c>
      <c r="DK10" s="87">
        <f t="shared" si="61"/>
        <v>71.954343907714488</v>
      </c>
      <c r="DL10" s="88">
        <f t="shared" si="62"/>
        <v>2.1638876984232001</v>
      </c>
      <c r="DM10" s="86" t="e">
        <f t="shared" si="63"/>
        <v>#DIV/0!</v>
      </c>
      <c r="DN10" s="86">
        <f>4.7453677597*AC10</f>
        <v>11121.24388163292</v>
      </c>
      <c r="DO10" s="90">
        <v>3.9</v>
      </c>
      <c r="DP10" s="7"/>
      <c r="DQ10" s="86">
        <f t="shared" si="64"/>
        <v>24521.867999999999</v>
      </c>
      <c r="DR10" s="86">
        <v>15</v>
      </c>
      <c r="DS10" s="86">
        <f t="shared" si="65"/>
        <v>29310</v>
      </c>
      <c r="DT10" s="87">
        <f t="shared" si="66"/>
        <v>15.420133381398703</v>
      </c>
      <c r="DU10" s="88">
        <f t="shared" si="67"/>
        <v>0.16261633099259998</v>
      </c>
      <c r="DV10" s="86">
        <f t="shared" si="68"/>
        <v>17.133481534887448</v>
      </c>
      <c r="DW10" s="86">
        <f>0.6741970605*AC10</f>
        <v>1580.0482309877998</v>
      </c>
      <c r="DX10" s="89">
        <v>30</v>
      </c>
      <c r="DY10" s="86">
        <f t="shared" si="69"/>
        <v>58605</v>
      </c>
      <c r="DZ10" s="87">
        <f t="shared" si="70"/>
        <v>30.838554434030282</v>
      </c>
      <c r="EA10" s="88">
        <f t="shared" si="71"/>
        <v>0.17074222095384001</v>
      </c>
      <c r="EB10" s="86">
        <f t="shared" si="72"/>
        <v>34.265060482255869</v>
      </c>
      <c r="EC10" s="86">
        <f>0.7078864882*AC10</f>
        <v>1659.00277374552</v>
      </c>
      <c r="ED10" s="89">
        <v>70</v>
      </c>
      <c r="EE10" s="86">
        <f t="shared" si="73"/>
        <v>136725</v>
      </c>
      <c r="EF10" s="87">
        <f t="shared" si="74"/>
        <v>71.954343907714488</v>
      </c>
      <c r="EG10" s="88">
        <f t="shared" si="75"/>
        <v>0.18860931394776001</v>
      </c>
      <c r="EH10" s="86">
        <f t="shared" si="76"/>
        <v>79.949271008571657</v>
      </c>
      <c r="EI10" s="86">
        <f>0.7819623298*AC10</f>
        <v>1832.60691611928</v>
      </c>
      <c r="EJ10" s="90">
        <v>3.9</v>
      </c>
    </row>
    <row r="11" spans="1:140">
      <c r="A11" s="70" t="str">
        <f t="shared" si="0"/>
        <v>EhWe</v>
      </c>
      <c r="B11" s="71">
        <v>9</v>
      </c>
      <c r="C11" s="70" t="s">
        <v>75</v>
      </c>
      <c r="D11" s="70" t="s">
        <v>82</v>
      </c>
      <c r="E11" s="70" t="s">
        <v>80</v>
      </c>
      <c r="F11" s="20"/>
      <c r="G11" s="72">
        <v>10000</v>
      </c>
      <c r="H11" s="72">
        <v>8493</v>
      </c>
      <c r="I11" s="72">
        <v>764</v>
      </c>
      <c r="J11" s="72">
        <v>423</v>
      </c>
      <c r="K11" s="72">
        <v>320</v>
      </c>
      <c r="L11" s="73">
        <f>97.65*9</f>
        <v>878.85</v>
      </c>
      <c r="M11" s="72">
        <f t="shared" si="77"/>
        <v>135</v>
      </c>
      <c r="N11" s="91">
        <f t="shared" si="1"/>
        <v>0.101385</v>
      </c>
      <c r="O11" s="179"/>
      <c r="P11" s="182"/>
      <c r="Q11" s="72">
        <f t="shared" si="2"/>
        <v>439.42500000000001</v>
      </c>
      <c r="R11" s="72">
        <f t="shared" si="3"/>
        <v>351.54</v>
      </c>
      <c r="S11" s="72">
        <f t="shared" si="4"/>
        <v>1318.2750000000001</v>
      </c>
      <c r="T11" s="25"/>
      <c r="U11" s="77">
        <f t="shared" si="5"/>
        <v>1013.85</v>
      </c>
      <c r="V11" s="78">
        <f t="shared" si="6"/>
        <v>0.101385</v>
      </c>
      <c r="W11" s="78">
        <f t="shared" si="7"/>
        <v>0.23321249999999999</v>
      </c>
      <c r="X11" s="32"/>
      <c r="Y11" s="79">
        <v>2.5</v>
      </c>
      <c r="Z11" s="77">
        <f t="shared" si="8"/>
        <v>2332.125</v>
      </c>
      <c r="AA11" s="77">
        <f t="shared" si="9"/>
        <v>1865.7</v>
      </c>
      <c r="AB11" s="77">
        <f t="shared" si="10"/>
        <v>2636.55</v>
      </c>
      <c r="AC11" s="77">
        <f t="shared" si="11"/>
        <v>2109.2400000000002</v>
      </c>
      <c r="AD11" s="77">
        <f t="shared" si="12"/>
        <v>1757.7</v>
      </c>
      <c r="AE11" s="77">
        <f t="shared" si="13"/>
        <v>22.5</v>
      </c>
      <c r="AF11" s="77">
        <f t="shared" si="78"/>
        <v>1735.2</v>
      </c>
      <c r="AG11" s="30"/>
      <c r="AH11" s="77">
        <f t="shared" si="14"/>
        <v>878.85</v>
      </c>
      <c r="AI11" s="73">
        <f>135.7*9</f>
        <v>1221.3</v>
      </c>
      <c r="AJ11" s="77">
        <f>279.4*9</f>
        <v>2514.6</v>
      </c>
      <c r="AK11" s="77">
        <f t="shared" si="15"/>
        <v>4614.75</v>
      </c>
      <c r="AL11" s="77">
        <f>805.4*9</f>
        <v>7248.5999999999995</v>
      </c>
      <c r="AM11" s="80">
        <f t="shared" si="16"/>
        <v>0.63664017879314627</v>
      </c>
      <c r="AN11" s="32"/>
      <c r="AO11" s="72">
        <v>90</v>
      </c>
      <c r="AP11" s="81">
        <v>125</v>
      </c>
      <c r="AQ11" s="82">
        <f t="shared" si="17"/>
        <v>215</v>
      </c>
      <c r="AR11" s="34"/>
      <c r="AS11" s="82">
        <v>9</v>
      </c>
      <c r="AT11" s="20"/>
      <c r="AU11" s="77">
        <v>51</v>
      </c>
      <c r="AV11" s="77">
        <v>157</v>
      </c>
      <c r="AW11" s="77">
        <v>196</v>
      </c>
      <c r="AX11" s="83">
        <f t="shared" si="18"/>
        <v>34.464705882352945</v>
      </c>
      <c r="AY11" s="83">
        <f t="shared" si="19"/>
        <v>9</v>
      </c>
      <c r="AZ11" s="83">
        <f t="shared" si="20"/>
        <v>22.167605393411844</v>
      </c>
      <c r="BA11" s="83">
        <f t="shared" si="21"/>
        <v>84.888888888888886</v>
      </c>
      <c r="BB11" s="3"/>
      <c r="BC11" s="84" t="s">
        <v>78</v>
      </c>
      <c r="BD11" s="77">
        <f t="shared" si="22"/>
        <v>878.85</v>
      </c>
      <c r="BE11" s="77">
        <f t="shared" si="23"/>
        <v>1721.7000000000003</v>
      </c>
      <c r="BF11" s="77" t="e" vm="1">
        <f>'[1]4 - Flächen'!AJ11</f>
        <v>#VALUE!</v>
      </c>
      <c r="BG11" s="77" t="e" vm="2">
        <f t="shared" si="24"/>
        <v>#VALUE!</v>
      </c>
      <c r="BH11" s="77">
        <f t="shared" si="25"/>
        <v>439.42500000000001</v>
      </c>
      <c r="BI11" s="77" t="e" vm="2">
        <f t="shared" si="26"/>
        <v>#VALUE!</v>
      </c>
      <c r="BJ11" s="84">
        <f t="shared" si="27"/>
        <v>18</v>
      </c>
      <c r="BK11" s="85">
        <v>0.2</v>
      </c>
      <c r="BL11" s="77">
        <f t="shared" si="28"/>
        <v>351.54</v>
      </c>
      <c r="BM11" s="77">
        <f t="shared" si="29"/>
        <v>324</v>
      </c>
      <c r="BN11" s="77">
        <f t="shared" si="30"/>
        <v>687.6</v>
      </c>
      <c r="BO11" s="77">
        <f t="shared" si="31"/>
        <v>72</v>
      </c>
      <c r="BP11" s="77" cm="1">
        <f t="array" ref="BP11">BE11 - _xlfn.IFS(
    _xlfn.XOR(Y11 &lt; 2.5, Y11 = 2.5), 0.5 * AH11,
    _xlfn.XOR(Y11 &lt; 2.5, Y11 = 2.5) = FALSE, 0
)</f>
        <v>1282.2750000000003</v>
      </c>
      <c r="BQ11" s="77">
        <f t="shared" si="32"/>
        <v>18</v>
      </c>
      <c r="BR11" s="77" t="e" vm="1">
        <f>'[1]4 - Flächen'!AI11</f>
        <v>#VALUE!</v>
      </c>
      <c r="BS11" s="26"/>
      <c r="BT11" s="77">
        <f t="shared" si="33"/>
        <v>527.30999999999995</v>
      </c>
      <c r="BU11" s="77">
        <f t="shared" si="34"/>
        <v>10317.699000000001</v>
      </c>
      <c r="BV11" s="77">
        <f t="shared" si="35"/>
        <v>513</v>
      </c>
      <c r="BW11" s="77">
        <f t="shared" si="36"/>
        <v>252</v>
      </c>
      <c r="BX11" s="58"/>
      <c r="BY11" s="58">
        <f t="shared" si="37"/>
        <v>0</v>
      </c>
      <c r="BZ11" s="30"/>
      <c r="CA11" s="86">
        <f t="shared" si="38"/>
        <v>22069.681199999999</v>
      </c>
      <c r="CB11" s="86">
        <v>15</v>
      </c>
      <c r="CC11" s="86">
        <f t="shared" si="39"/>
        <v>26380.5</v>
      </c>
      <c r="CD11" s="87">
        <f t="shared" si="40"/>
        <v>13.878291276135544</v>
      </c>
      <c r="CE11" s="88">
        <f t="shared" si="41"/>
        <v>0.20407160219039999</v>
      </c>
      <c r="CF11" s="86" t="e">
        <f t="shared" si="42"/>
        <v>#DIV/0!</v>
      </c>
      <c r="CG11" s="86">
        <f>0.4475254434*AC11</f>
        <v>943.93856623701606</v>
      </c>
      <c r="CH11" s="89">
        <v>30</v>
      </c>
      <c r="CI11" s="86">
        <f t="shared" si="43"/>
        <v>52746</v>
      </c>
      <c r="CJ11" s="87">
        <f t="shared" si="44"/>
        <v>27.754870223503964</v>
      </c>
      <c r="CK11" s="88">
        <f t="shared" si="45"/>
        <v>0.22999251999840004</v>
      </c>
      <c r="CL11" s="86" t="e">
        <f t="shared" si="46"/>
        <v>#DIV/0!</v>
      </c>
      <c r="CM11" s="86">
        <f>0.5043695614*AC11</f>
        <v>1063.8364536873362</v>
      </c>
      <c r="CN11" s="89">
        <v>70</v>
      </c>
      <c r="CO11" s="86">
        <f t="shared" si="47"/>
        <v>123054</v>
      </c>
      <c r="CP11" s="87">
        <f t="shared" si="48"/>
        <v>64.759080749819759</v>
      </c>
      <c r="CQ11" s="88">
        <f t="shared" si="49"/>
        <v>0.28583294031600004</v>
      </c>
      <c r="CR11" s="86" t="e">
        <f t="shared" si="50"/>
        <v>#DIV/0!</v>
      </c>
      <c r="CS11" s="86">
        <f>0.6268266235*AC11</f>
        <v>1322.1277873511401</v>
      </c>
      <c r="CT11" s="90">
        <v>3.05</v>
      </c>
      <c r="CU11" s="30"/>
      <c r="CV11" s="86">
        <f t="shared" si="51"/>
        <v>22069.681199999999</v>
      </c>
      <c r="CW11" s="86">
        <v>15</v>
      </c>
      <c r="CX11" s="86">
        <f t="shared" si="52"/>
        <v>26380.5</v>
      </c>
      <c r="CY11" s="87">
        <f t="shared" si="53"/>
        <v>13.878291276135544</v>
      </c>
      <c r="CZ11" s="88">
        <f t="shared" si="54"/>
        <v>2.0180522519496003</v>
      </c>
      <c r="DA11" s="86" t="e">
        <f t="shared" si="55"/>
        <v>#DIV/0!</v>
      </c>
      <c r="DB11" s="86">
        <f>4.4255531841*AC11</f>
        <v>9334.5537980310855</v>
      </c>
      <c r="DC11" s="89">
        <v>30</v>
      </c>
      <c r="DD11" s="86">
        <f t="shared" si="56"/>
        <v>52746</v>
      </c>
      <c r="DE11" s="87">
        <f t="shared" si="57"/>
        <v>27.754870223503964</v>
      </c>
      <c r="DF11" s="88">
        <f t="shared" si="58"/>
        <v>2.0558137167383999</v>
      </c>
      <c r="DG11" s="86" t="e">
        <f t="shared" si="59"/>
        <v>#DIV/0!</v>
      </c>
      <c r="DH11" s="86">
        <f>4.5083634139*AC11</f>
        <v>9509.2204471344357</v>
      </c>
      <c r="DI11" s="89">
        <v>70</v>
      </c>
      <c r="DJ11" s="86">
        <f t="shared" si="60"/>
        <v>123054</v>
      </c>
      <c r="DK11" s="87">
        <f t="shared" si="61"/>
        <v>64.759080749819759</v>
      </c>
      <c r="DL11" s="88">
        <f t="shared" si="62"/>
        <v>2.1433206252239998</v>
      </c>
      <c r="DM11" s="86" t="e">
        <f t="shared" si="63"/>
        <v>#DIV/0!</v>
      </c>
      <c r="DN11" s="86">
        <f>4.700264529*AC11</f>
        <v>9913.9859551479603</v>
      </c>
      <c r="DO11" s="90">
        <v>3.9</v>
      </c>
      <c r="DP11" s="7"/>
      <c r="DQ11" s="86">
        <f t="shared" si="64"/>
        <v>22069.681199999999</v>
      </c>
      <c r="DR11" s="86">
        <v>15</v>
      </c>
      <c r="DS11" s="86">
        <f t="shared" si="65"/>
        <v>26380.5</v>
      </c>
      <c r="DT11" s="87">
        <f t="shared" si="66"/>
        <v>13.878291276135544</v>
      </c>
      <c r="DU11" s="88">
        <f t="shared" si="67"/>
        <v>0.16203474542808002</v>
      </c>
      <c r="DV11" s="86">
        <f t="shared" si="68"/>
        <v>15.420323640150604</v>
      </c>
      <c r="DW11" s="86">
        <f>0.6717858434*AC11</f>
        <v>1416.9575723330163</v>
      </c>
      <c r="DX11" s="89">
        <v>30</v>
      </c>
      <c r="DY11" s="86">
        <f t="shared" si="69"/>
        <v>52746</v>
      </c>
      <c r="DZ11" s="87">
        <f t="shared" si="70"/>
        <v>27.754870223503964</v>
      </c>
      <c r="EA11" s="88">
        <f t="shared" si="71"/>
        <v>0.170163062802</v>
      </c>
      <c r="EB11" s="86">
        <f t="shared" si="72"/>
        <v>30.838744692782182</v>
      </c>
      <c r="EC11" s="86">
        <f>0.705485335*AC11</f>
        <v>1488.0378879954001</v>
      </c>
      <c r="ED11" s="89">
        <v>70</v>
      </c>
      <c r="EE11" s="86">
        <f t="shared" si="73"/>
        <v>123054</v>
      </c>
      <c r="EF11" s="87">
        <f t="shared" si="74"/>
        <v>64.759080749819759</v>
      </c>
      <c r="EG11" s="88">
        <f t="shared" si="75"/>
        <v>0.18803549311776002</v>
      </c>
      <c r="EH11" s="86">
        <f t="shared" si="76"/>
        <v>71.954534166466402</v>
      </c>
      <c r="EI11" s="86">
        <f>0.7795833048*AC11</f>
        <v>1644.3282898163523</v>
      </c>
      <c r="EJ11" s="90">
        <v>3.9</v>
      </c>
    </row>
    <row r="12" spans="1:140">
      <c r="A12" s="20" t="str">
        <f t="shared" si="0"/>
        <v/>
      </c>
      <c r="B12" s="92"/>
      <c r="C12" s="20"/>
      <c r="D12" s="20"/>
      <c r="E12" s="20"/>
      <c r="F12" s="20"/>
      <c r="G12" s="93"/>
      <c r="H12" s="93"/>
      <c r="I12" s="93"/>
      <c r="J12" s="93"/>
      <c r="K12" s="93"/>
      <c r="L12" s="93"/>
      <c r="M12" s="94"/>
      <c r="N12" s="95"/>
      <c r="O12" s="93"/>
      <c r="P12" s="93"/>
      <c r="Q12" s="93"/>
      <c r="R12" s="93"/>
      <c r="S12" s="21">
        <f t="shared" si="4"/>
        <v>0</v>
      </c>
      <c r="T12" s="61"/>
      <c r="U12" s="34"/>
      <c r="V12" s="96"/>
      <c r="W12" s="96"/>
      <c r="X12" s="28"/>
      <c r="Y12" s="28"/>
      <c r="Z12" s="34"/>
      <c r="AA12" s="34"/>
      <c r="AB12" s="34"/>
      <c r="AC12" s="26">
        <f>Z12*(1-0.15)</f>
        <v>0</v>
      </c>
      <c r="AD12" s="34"/>
      <c r="AE12" s="34">
        <f t="shared" si="13"/>
        <v>0</v>
      </c>
      <c r="AF12" s="34"/>
      <c r="AG12" s="30"/>
      <c r="AH12" s="34">
        <f t="shared" si="14"/>
        <v>0</v>
      </c>
      <c r="AI12" s="93"/>
      <c r="AJ12" s="34"/>
      <c r="AK12" s="34"/>
      <c r="AL12" s="34"/>
      <c r="AM12" s="97"/>
      <c r="AN12" s="28"/>
      <c r="AO12" s="93"/>
      <c r="AP12" s="98"/>
      <c r="AQ12" s="99"/>
      <c r="AR12" s="34"/>
      <c r="AS12" s="34"/>
      <c r="AT12" s="20"/>
      <c r="AU12" s="99"/>
      <c r="AV12" s="34"/>
      <c r="AW12" s="34"/>
      <c r="AX12" s="99"/>
      <c r="AY12" s="99"/>
      <c r="AZ12" s="11"/>
      <c r="BA12" s="11"/>
      <c r="BB12" s="3"/>
      <c r="BC12" s="11"/>
      <c r="BD12" s="11"/>
      <c r="BE12" s="11"/>
      <c r="BF12" s="11"/>
      <c r="BG12" s="11"/>
      <c r="BH12" s="11"/>
      <c r="BI12" s="11"/>
      <c r="BJ12" s="100">
        <f t="shared" si="27"/>
        <v>0</v>
      </c>
      <c r="BK12" s="101"/>
      <c r="BL12" s="11"/>
      <c r="BM12" s="11"/>
      <c r="BN12" s="26">
        <f>84.4*AY12</f>
        <v>0</v>
      </c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102"/>
      <c r="CM12" s="102"/>
      <c r="CN12" s="102"/>
      <c r="CO12" s="102"/>
      <c r="CP12" s="7"/>
      <c r="CQ12" s="7"/>
      <c r="CR12" s="103"/>
      <c r="CS12" s="103"/>
      <c r="CT12" s="104"/>
      <c r="CU12" s="11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102"/>
      <c r="DH12" s="102"/>
      <c r="DI12" s="102"/>
      <c r="DJ12" s="102"/>
      <c r="DK12" s="7"/>
      <c r="DL12" s="7"/>
      <c r="DM12" s="103"/>
      <c r="DN12" s="102"/>
      <c r="DO12" s="104"/>
      <c r="DP12" s="7"/>
      <c r="DQ12" s="7"/>
      <c r="DR12" s="7"/>
      <c r="DS12" s="7"/>
      <c r="DT12" s="7"/>
      <c r="DU12" s="7"/>
      <c r="DV12" s="7"/>
      <c r="DW12" s="102"/>
      <c r="DX12" s="7"/>
      <c r="DY12" s="7"/>
      <c r="DZ12" s="7"/>
      <c r="EA12" s="7"/>
      <c r="EB12" s="102"/>
      <c r="EC12" s="102"/>
      <c r="ED12" s="102"/>
      <c r="EE12" s="102"/>
      <c r="EF12" s="7"/>
      <c r="EG12" s="7"/>
      <c r="EH12" s="7"/>
      <c r="EI12" s="102"/>
      <c r="EJ12" s="105"/>
    </row>
    <row r="13" spans="1:140">
      <c r="A13" s="18" t="str">
        <f t="shared" si="0"/>
        <v>EgGi</v>
      </c>
      <c r="B13" s="19">
        <v>100</v>
      </c>
      <c r="C13" s="18" t="s">
        <v>75</v>
      </c>
      <c r="D13" s="18" t="s">
        <v>76</v>
      </c>
      <c r="E13" s="18" t="s">
        <v>83</v>
      </c>
      <c r="F13" s="20"/>
      <c r="G13" s="21">
        <v>60000</v>
      </c>
      <c r="H13" s="21">
        <f t="shared" ref="H13:M13" si="86">H3*6</f>
        <v>43350</v>
      </c>
      <c r="I13" s="21">
        <f t="shared" si="86"/>
        <v>6984</v>
      </c>
      <c r="J13" s="21">
        <f t="shared" si="86"/>
        <v>5586</v>
      </c>
      <c r="K13" s="21">
        <f t="shared" si="86"/>
        <v>4080</v>
      </c>
      <c r="L13" s="21">
        <f t="shared" si="86"/>
        <v>5862</v>
      </c>
      <c r="M13" s="21">
        <f t="shared" si="86"/>
        <v>900</v>
      </c>
      <c r="N13" s="23">
        <f t="shared" ref="N13:N21" si="87">(L13+M13)/G13</f>
        <v>0.11269999999999999</v>
      </c>
      <c r="O13" s="24"/>
      <c r="P13" s="176"/>
      <c r="Q13" s="21">
        <f>Q3*6</f>
        <v>2931</v>
      </c>
      <c r="R13" s="21">
        <f t="shared" ref="R13:R21" si="88">Q13*0.8</f>
        <v>2344.8000000000002</v>
      </c>
      <c r="S13" s="21">
        <f t="shared" si="4"/>
        <v>8793</v>
      </c>
      <c r="T13" s="25"/>
      <c r="U13" s="26">
        <f t="shared" ref="U13:U21" si="89">L13+M13</f>
        <v>6762</v>
      </c>
      <c r="V13" s="27">
        <f t="shared" ref="V13:V21" si="90">U13/G13</f>
        <v>0.11269999999999999</v>
      </c>
      <c r="W13" s="27">
        <f t="shared" ref="W13:W21" si="91">Z13/G13</f>
        <v>0.16155</v>
      </c>
      <c r="X13" s="32"/>
      <c r="Y13" s="29">
        <v>1.5</v>
      </c>
      <c r="Z13" s="26">
        <f t="shared" ref="Z13:Z21" si="92">(L13*Y13)+M13</f>
        <v>9693</v>
      </c>
      <c r="AA13" s="26">
        <f t="shared" ref="AA13:AA21" si="93">Z13*0.8</f>
        <v>7754.4000000000005</v>
      </c>
      <c r="AB13" s="26">
        <f t="shared" ref="AB13:AB21" si="94">(L13*Y13)+BH13</f>
        <v>11724</v>
      </c>
      <c r="AC13" s="21">
        <f>AC3*6</f>
        <v>9379.2000000000007</v>
      </c>
      <c r="AD13" s="26">
        <f t="shared" ref="AD13:AD21" si="95">((L13*Y13)*0.8)</f>
        <v>7034.4000000000005</v>
      </c>
      <c r="AE13" s="26">
        <f t="shared" si="13"/>
        <v>150</v>
      </c>
      <c r="AF13" s="26">
        <f t="shared" ref="AF13:AF21" si="96">AD13-AE13</f>
        <v>6884.4000000000005</v>
      </c>
      <c r="AG13" s="30"/>
      <c r="AH13" s="26">
        <f t="shared" si="14"/>
        <v>5862</v>
      </c>
      <c r="AI13" s="26">
        <f t="shared" ref="AI13:AL13" si="97">AI3*6</f>
        <v>8142</v>
      </c>
      <c r="AJ13" s="26">
        <f t="shared" si="97"/>
        <v>9630</v>
      </c>
      <c r="AK13" s="26">
        <f t="shared" si="97"/>
        <v>23634</v>
      </c>
      <c r="AL13" s="26">
        <f t="shared" si="97"/>
        <v>30714</v>
      </c>
      <c r="AM13" s="31">
        <f t="shared" ref="AM13:AM21" si="98">AK13/AL13</f>
        <v>0.76948622777886311</v>
      </c>
      <c r="AN13" s="28"/>
      <c r="AO13" s="21">
        <f t="shared" ref="AO13:AP13" si="99">AO3*6</f>
        <v>1200</v>
      </c>
      <c r="AP13" s="33">
        <f t="shared" si="99"/>
        <v>750</v>
      </c>
      <c r="AQ13" s="26">
        <f t="shared" ref="AQ13:AQ21" si="100">AO13+AP13</f>
        <v>1950</v>
      </c>
      <c r="AR13" s="34"/>
      <c r="AS13" s="21">
        <f>AS3*6</f>
        <v>60</v>
      </c>
      <c r="AT13" s="20"/>
      <c r="AU13" s="26">
        <v>51</v>
      </c>
      <c r="AV13" s="26">
        <v>157</v>
      </c>
      <c r="AW13" s="26">
        <v>196</v>
      </c>
      <c r="AX13" s="35">
        <f t="shared" ref="AX13:AY13" si="101">AX3*6</f>
        <v>137.92941176470589</v>
      </c>
      <c r="AY13" s="35">
        <f t="shared" si="101"/>
        <v>60</v>
      </c>
      <c r="AZ13" s="35">
        <f t="shared" ref="AZ13:AZ21" si="102">I13/AX13</f>
        <v>50.634595701125896</v>
      </c>
      <c r="BA13" s="35">
        <f t="shared" ref="BA13:BA21" si="103">I13/AY13</f>
        <v>116.4</v>
      </c>
      <c r="BB13" s="3"/>
      <c r="BC13" s="36" t="s">
        <v>78</v>
      </c>
      <c r="BD13" s="26">
        <f t="shared" ref="BD13:BD21" si="104">AH13</f>
        <v>5862</v>
      </c>
      <c r="BE13" s="21">
        <f t="shared" ref="BE13:BF13" si="105">BE3*6</f>
        <v>6914.4000000000005</v>
      </c>
      <c r="BF13" s="21" t="e" vm="2">
        <f t="shared" si="105"/>
        <v>#VALUE!</v>
      </c>
      <c r="BG13" s="26" t="e" vm="2">
        <f t="shared" ref="BG13:BG21" si="106">BF13-BL13-((2.2*1.1)*BJ13)</f>
        <v>#VALUE!</v>
      </c>
      <c r="BH13" s="26">
        <f t="shared" ref="BH13:BH21" si="107">Q13</f>
        <v>2931</v>
      </c>
      <c r="BI13" s="21" t="e" vm="2">
        <f t="shared" ref="BI13:BJ13" si="108">BI3*6</f>
        <v>#VALUE!</v>
      </c>
      <c r="BJ13" s="21">
        <f t="shared" si="108"/>
        <v>120</v>
      </c>
      <c r="BK13" s="106">
        <v>0.2</v>
      </c>
      <c r="BL13" s="21">
        <f t="shared" ref="BL13:BR13" si="109">BL3*6</f>
        <v>1406.88</v>
      </c>
      <c r="BM13" s="21">
        <f t="shared" si="109"/>
        <v>2160</v>
      </c>
      <c r="BN13" s="21">
        <f t="shared" si="109"/>
        <v>4584</v>
      </c>
      <c r="BO13" s="21">
        <f t="shared" si="109"/>
        <v>480</v>
      </c>
      <c r="BP13" s="21">
        <f t="shared" si="109"/>
        <v>3983.4000000000005</v>
      </c>
      <c r="BQ13" s="21">
        <f t="shared" si="109"/>
        <v>60</v>
      </c>
      <c r="BR13" s="21" t="e" vm="2">
        <f t="shared" si="109"/>
        <v>#VALUE!</v>
      </c>
      <c r="BS13" s="26"/>
      <c r="BT13" s="21">
        <f t="shared" ref="BT13:BW13" si="110">BT3*6</f>
        <v>2110.3200000000002</v>
      </c>
      <c r="BU13" s="21">
        <f t="shared" si="110"/>
        <v>41291.928</v>
      </c>
      <c r="BV13" s="21">
        <f t="shared" si="110"/>
        <v>3420</v>
      </c>
      <c r="BW13" s="21">
        <f t="shared" si="110"/>
        <v>1680</v>
      </c>
      <c r="BX13" s="26"/>
      <c r="BY13" s="26">
        <f t="shared" ref="BY13:BY21" si="111">IF(Y13&gt;3,AS13,0)</f>
        <v>0</v>
      </c>
      <c r="BZ13" s="30"/>
      <c r="CA13" s="40">
        <f t="shared" ref="CA13:CA21" si="112">(34.4*365*$AD13)/1000</f>
        <v>88323.926400000011</v>
      </c>
      <c r="CB13" s="40">
        <v>15</v>
      </c>
      <c r="CC13" s="40">
        <f t="shared" ref="CC13:CC21" si="113">$AD13*CB13+($CB13)</f>
        <v>105531.00000000001</v>
      </c>
      <c r="CD13" s="41">
        <f t="shared" ref="CD13:CD21" si="114">((CC13-$CB13)/1900)+($CB13/8760)</f>
        <v>55.536449170872395</v>
      </c>
      <c r="CE13" s="42">
        <f t="shared" ref="CE13:CE21" si="115">((380*$CG13)/1000)/$AD13</f>
        <v>0.25699455991733333</v>
      </c>
      <c r="CF13" s="40" t="e">
        <f t="shared" ref="CF13:CF21" si="116">$CD13/$CU13</f>
        <v>#DIV/0!</v>
      </c>
      <c r="CG13" s="21">
        <f>CG3*6</f>
        <v>4757.3750849539201</v>
      </c>
      <c r="CH13" s="43">
        <v>30</v>
      </c>
      <c r="CI13" s="40">
        <f t="shared" ref="CI13:CI21" si="117">$AD13*CH13+($CB13)</f>
        <v>211047.00000000003</v>
      </c>
      <c r="CJ13" s="41">
        <f t="shared" ref="CJ13:CJ21" si="118">((CI13-$CB13)/1900)+($CB13/8760)</f>
        <v>111.07118601297766</v>
      </c>
      <c r="CK13" s="42">
        <f t="shared" ref="CK13:CK21" si="119">((380*$CM13)/1000)/$AD13</f>
        <v>0.26872788755733334</v>
      </c>
      <c r="CL13" s="40" t="e">
        <f t="shared" ref="CL13:CL21" si="120">$CJ13/$CU13</f>
        <v>#DIV/0!</v>
      </c>
      <c r="CM13" s="21">
        <f>CM3*6</f>
        <v>4974.5775058771205</v>
      </c>
      <c r="CN13" s="43">
        <v>70</v>
      </c>
      <c r="CO13" s="40">
        <f t="shared" ref="CO13:CO21" si="121">$AD13*CN13+($CB13)</f>
        <v>492423.00000000006</v>
      </c>
      <c r="CP13" s="41">
        <f t="shared" ref="CP13:CP21" si="122">((CO13-$CB13)/1900)+($CB13/8760)</f>
        <v>259.16381759192501</v>
      </c>
      <c r="CQ13" s="42">
        <f t="shared" ref="CQ13:CQ21" si="123">((380*$CS13)/1000)/$AD13</f>
        <v>0.32571065891466666</v>
      </c>
      <c r="CR13" s="40" t="e">
        <f t="shared" ref="CR13:CR21" si="124">$CP13/$CU13</f>
        <v>#DIV/0!</v>
      </c>
      <c r="CS13" s="21">
        <f>CS3*6</f>
        <v>6029.4185764982403</v>
      </c>
      <c r="CT13" s="44">
        <v>3.05</v>
      </c>
      <c r="CU13" s="30"/>
      <c r="CV13" s="40">
        <f t="shared" ref="CV13:CV21" si="125">(34.4*365*$AD13)/1000</f>
        <v>88323.926400000011</v>
      </c>
      <c r="CW13" s="40">
        <v>15</v>
      </c>
      <c r="CX13" s="40">
        <f t="shared" ref="CX13:CX21" si="126">$AD13*CW13+($CW13)</f>
        <v>105531.00000000001</v>
      </c>
      <c r="CY13" s="41">
        <f t="shared" ref="CY13:CY21" si="127">((CX13-$CW13)/1900)+($CW13/8760)</f>
        <v>55.536449170872395</v>
      </c>
      <c r="CZ13" s="42">
        <f t="shared" ref="CZ13:CZ21" si="128">((380*$DB13)/1000)/$AD13</f>
        <v>3.3549527282453337</v>
      </c>
      <c r="DA13" s="40" t="e">
        <f t="shared" ref="DA13:DA21" si="129">$CY13/$DP13</f>
        <v>#DIV/0!</v>
      </c>
      <c r="DB13" s="21">
        <f>DB3*6</f>
        <v>62105.472293602565</v>
      </c>
      <c r="DC13" s="43">
        <v>30</v>
      </c>
      <c r="DD13" s="40">
        <f t="shared" ref="DD13:DD21" si="130">$AD13*DC13+($CW13)</f>
        <v>211047.00000000003</v>
      </c>
      <c r="DE13" s="41">
        <f t="shared" ref="DE13:DE21" si="131">((DD13-$CW13)/1900)+($CW13/8760)</f>
        <v>111.07118601297766</v>
      </c>
      <c r="DF13" s="42">
        <f t="shared" ref="DF13:DF21" si="132">((380*$DH13)/1000)/$AD13</f>
        <v>3.3798362533493336</v>
      </c>
      <c r="DG13" s="40" t="e">
        <f t="shared" ref="DG13:DG21" si="133">$DE13/$DP13</f>
        <v>#DIV/0!</v>
      </c>
      <c r="DH13" s="21">
        <f>DH3*6</f>
        <v>62566.105633054081</v>
      </c>
      <c r="DI13" s="43">
        <v>70</v>
      </c>
      <c r="DJ13" s="40">
        <f t="shared" ref="DJ13:DJ21" si="134">$AD13*DI13+($CW13)</f>
        <v>492423.00000000006</v>
      </c>
      <c r="DK13" s="41">
        <f t="shared" ref="DK13:DK21" si="135">((DJ13-$CW13)/1900)+($CW13/8760)</f>
        <v>259.16381759192501</v>
      </c>
      <c r="DL13" s="42">
        <f t="shared" ref="DL13:DL21" si="136">((380*$DN13)/1000)/$AD13</f>
        <v>3.4719931300826667</v>
      </c>
      <c r="DM13" s="40" t="e">
        <f t="shared" ref="DM13:DM21" si="137">$DK13/$DP13</f>
        <v>#DIV/0!</v>
      </c>
      <c r="DN13" s="21">
        <f>DN3*6</f>
        <v>64272.074932246091</v>
      </c>
      <c r="DO13" s="44">
        <v>3.9</v>
      </c>
      <c r="DP13" s="7"/>
      <c r="DQ13" s="40">
        <f t="shared" ref="DQ13:DQ21" si="138">(34.4*365*$AD13)/1000</f>
        <v>88323.926400000011</v>
      </c>
      <c r="DR13" s="40">
        <v>15</v>
      </c>
      <c r="DS13" s="40">
        <f t="shared" ref="DS13:DS21" si="139">$AD13*DR13+($DR13)</f>
        <v>105531.00000000001</v>
      </c>
      <c r="DT13" s="41">
        <f t="shared" ref="DT13:DT21" si="140">((DS13-$DR13)/1900)+($DR13/8760)</f>
        <v>55.536449170872395</v>
      </c>
      <c r="DU13" s="42">
        <f t="shared" ref="DU13:DU21" si="141">((201*$DW13)/1000)/$AD13</f>
        <v>0.22724063964599997</v>
      </c>
      <c r="DV13" s="40">
        <f t="shared" ref="DV13:DV21" si="142">$DT13/0.9</f>
        <v>61.707165745413768</v>
      </c>
      <c r="DW13" s="21">
        <f>DW3*6</f>
        <v>7952.7440573424001</v>
      </c>
      <c r="DX13" s="43">
        <v>30</v>
      </c>
      <c r="DY13" s="40">
        <f t="shared" ref="DY13:DY21" si="143">$AD13*DX13+($DR13)</f>
        <v>211047.00000000003</v>
      </c>
      <c r="DZ13" s="41">
        <f t="shared" ref="DZ13:DZ21" si="144">((DY13-$DR13)/1900)+($DR13/8760)</f>
        <v>111.07118601297766</v>
      </c>
      <c r="EA13" s="42">
        <f t="shared" ref="EA13:EA21" si="145">((201*$EC13)/1000)/$AD13</f>
        <v>0.22724063964599997</v>
      </c>
      <c r="EB13" s="40">
        <f t="shared" ref="EB13:EB21" si="146">$DZ13/0.9</f>
        <v>123.41242890330851</v>
      </c>
      <c r="EC13" s="21">
        <f>EC3*6</f>
        <v>7952.7440573424001</v>
      </c>
      <c r="ED13" s="43">
        <v>70</v>
      </c>
      <c r="EE13" s="40">
        <f t="shared" ref="EE13:EE21" si="147">$AD13*ED13+($DR13)</f>
        <v>492423.00000000006</v>
      </c>
      <c r="EF13" s="41">
        <f t="shared" ref="EF13:EF21" si="148">((EE13-$DR13)/1900)+($DR13/8760)</f>
        <v>259.16381759192501</v>
      </c>
      <c r="EG13" s="42">
        <f t="shared" ref="EG13:EG21" si="149">((201*$EI13)/1000)/$AD13</f>
        <v>0.22724063964599997</v>
      </c>
      <c r="EH13" s="40">
        <f t="shared" ref="EH13:EH21" si="150">$EF13/0.9</f>
        <v>287.95979732436109</v>
      </c>
      <c r="EI13" s="21">
        <f>EI3*6</f>
        <v>7952.7440573424001</v>
      </c>
      <c r="EJ13" s="44">
        <v>3.9</v>
      </c>
    </row>
    <row r="14" spans="1:140">
      <c r="A14" s="18" t="str">
        <f t="shared" si="0"/>
        <v>EgSc</v>
      </c>
      <c r="B14" s="19">
        <v>101</v>
      </c>
      <c r="C14" s="18" t="s">
        <v>75</v>
      </c>
      <c r="D14" s="18" t="s">
        <v>76</v>
      </c>
      <c r="E14" s="18" t="s">
        <v>84</v>
      </c>
      <c r="F14" s="20"/>
      <c r="G14" s="21">
        <v>60000</v>
      </c>
      <c r="H14" s="21">
        <f t="shared" ref="H14:M14" si="151">(H4*4)+(H3*2)</f>
        <v>48450</v>
      </c>
      <c r="I14" s="21">
        <f t="shared" si="151"/>
        <v>4728</v>
      </c>
      <c r="J14" s="21">
        <f t="shared" si="151"/>
        <v>4102</v>
      </c>
      <c r="K14" s="21">
        <f t="shared" si="151"/>
        <v>2720</v>
      </c>
      <c r="L14" s="21">
        <f t="shared" si="151"/>
        <v>5078</v>
      </c>
      <c r="M14" s="21">
        <f t="shared" si="151"/>
        <v>780</v>
      </c>
      <c r="N14" s="23">
        <f t="shared" si="87"/>
        <v>9.7633333333333336E-2</v>
      </c>
      <c r="O14" s="177"/>
      <c r="P14" s="178"/>
      <c r="Q14" s="45">
        <f>Q3*2+Q4*4</f>
        <v>2539</v>
      </c>
      <c r="R14" s="21">
        <f t="shared" si="88"/>
        <v>2031.2</v>
      </c>
      <c r="S14" s="21">
        <f t="shared" si="4"/>
        <v>7617</v>
      </c>
      <c r="T14" s="25"/>
      <c r="U14" s="26">
        <f t="shared" si="89"/>
        <v>5858</v>
      </c>
      <c r="V14" s="27">
        <f t="shared" si="90"/>
        <v>9.7633333333333336E-2</v>
      </c>
      <c r="W14" s="27">
        <f t="shared" si="91"/>
        <v>0.13994999999999999</v>
      </c>
      <c r="X14" s="32"/>
      <c r="Y14" s="29">
        <v>1.5</v>
      </c>
      <c r="Z14" s="26">
        <f t="shared" si="92"/>
        <v>8397</v>
      </c>
      <c r="AA14" s="26">
        <f t="shared" si="93"/>
        <v>6717.6</v>
      </c>
      <c r="AB14" s="26">
        <f t="shared" si="94"/>
        <v>10156</v>
      </c>
      <c r="AC14" s="21">
        <f>(AC4*4)+(AC3*2)</f>
        <v>8124.8000000000011</v>
      </c>
      <c r="AD14" s="26">
        <f t="shared" si="95"/>
        <v>6093.6</v>
      </c>
      <c r="AE14" s="26">
        <f t="shared" si="13"/>
        <v>130</v>
      </c>
      <c r="AF14" s="26">
        <f t="shared" si="96"/>
        <v>5963.6</v>
      </c>
      <c r="AG14" s="30"/>
      <c r="AH14" s="26">
        <f t="shared" si="14"/>
        <v>5078</v>
      </c>
      <c r="AI14" s="45">
        <f t="shared" ref="AI14:AJ14" si="152">(AI3*2)+(AI4*4)</f>
        <v>7056.4</v>
      </c>
      <c r="AJ14" s="45">
        <f t="shared" si="152"/>
        <v>8346</v>
      </c>
      <c r="AK14" s="26">
        <f t="shared" ref="AK14:AK21" si="153">SUM(AH14:AJ14)</f>
        <v>20480.400000000001</v>
      </c>
      <c r="AL14" s="26">
        <f>AL3*2+AL4*4</f>
        <v>26618.799999999999</v>
      </c>
      <c r="AM14" s="31">
        <f t="shared" si="98"/>
        <v>0.76939606593835941</v>
      </c>
      <c r="AN14" s="28"/>
      <c r="AO14" s="21">
        <f t="shared" ref="AO14:AP14" si="154">AO3*2+AO4*4</f>
        <v>800</v>
      </c>
      <c r="AP14" s="33">
        <f t="shared" si="154"/>
        <v>650</v>
      </c>
      <c r="AQ14" s="26">
        <f t="shared" si="100"/>
        <v>1450</v>
      </c>
      <c r="AR14" s="34"/>
      <c r="AS14" s="21">
        <f>(AS4*4)+(AS3*2)</f>
        <v>52</v>
      </c>
      <c r="AT14" s="20"/>
      <c r="AU14" s="26">
        <v>51</v>
      </c>
      <c r="AV14" s="26">
        <v>157</v>
      </c>
      <c r="AW14" s="26">
        <v>196</v>
      </c>
      <c r="AX14" s="35">
        <f t="shared" ref="AX14:AY14" si="155">AX3*2+AX4*4</f>
        <v>119.48235294117649</v>
      </c>
      <c r="AY14" s="35">
        <f t="shared" si="155"/>
        <v>52</v>
      </c>
      <c r="AZ14" s="35">
        <f t="shared" si="102"/>
        <v>39.570697124852302</v>
      </c>
      <c r="BA14" s="35">
        <f t="shared" si="103"/>
        <v>90.92307692307692</v>
      </c>
      <c r="BB14" s="3"/>
      <c r="BC14" s="36" t="s">
        <v>78</v>
      </c>
      <c r="BD14" s="26">
        <f t="shared" si="104"/>
        <v>5078</v>
      </c>
      <c r="BE14" s="21">
        <f t="shared" ref="BE14:BF14" si="156">(BE4*4)+(BE3*2)</f>
        <v>5989.6</v>
      </c>
      <c r="BF14" s="21" t="e" vm="2">
        <f t="shared" si="156"/>
        <v>#VALUE!</v>
      </c>
      <c r="BG14" s="26" t="e" vm="2">
        <f t="shared" si="106"/>
        <v>#VALUE!</v>
      </c>
      <c r="BH14" s="26">
        <f t="shared" si="107"/>
        <v>2539</v>
      </c>
      <c r="BI14" s="21" t="e" vm="2">
        <f t="shared" ref="BI14:BJ14" si="157">(BI4*4)+(BI3*2)</f>
        <v>#VALUE!</v>
      </c>
      <c r="BJ14" s="21">
        <f t="shared" si="157"/>
        <v>104</v>
      </c>
      <c r="BK14" s="106">
        <v>0.2</v>
      </c>
      <c r="BL14" s="21">
        <f t="shared" ref="BL14:BR14" si="158">(BL4*4)+(BL3*2)</f>
        <v>1218.7200000000003</v>
      </c>
      <c r="BM14" s="21">
        <f t="shared" si="158"/>
        <v>1872</v>
      </c>
      <c r="BN14" s="21">
        <f t="shared" si="158"/>
        <v>3972.8</v>
      </c>
      <c r="BO14" s="21">
        <f t="shared" si="158"/>
        <v>416</v>
      </c>
      <c r="BP14" s="21">
        <f t="shared" si="158"/>
        <v>3450.6000000000004</v>
      </c>
      <c r="BQ14" s="21">
        <f t="shared" si="158"/>
        <v>52</v>
      </c>
      <c r="BR14" s="21" t="e" vm="2">
        <f t="shared" si="158"/>
        <v>#VALUE!</v>
      </c>
      <c r="BS14" s="26"/>
      <c r="BT14" s="21">
        <f t="shared" ref="BT14:BW14" si="159">(BT4*4)+(BT3*2)</f>
        <v>1828.0800000000002</v>
      </c>
      <c r="BU14" s="21">
        <f t="shared" si="159"/>
        <v>35769.432000000001</v>
      </c>
      <c r="BV14" s="21">
        <f t="shared" si="159"/>
        <v>2964</v>
      </c>
      <c r="BW14" s="21">
        <f t="shared" si="159"/>
        <v>1456</v>
      </c>
      <c r="BX14" s="26"/>
      <c r="BY14" s="26">
        <f t="shared" si="111"/>
        <v>0</v>
      </c>
      <c r="BZ14" s="30"/>
      <c r="CA14" s="40">
        <f t="shared" si="112"/>
        <v>76511.241600000008</v>
      </c>
      <c r="CB14" s="40">
        <v>15</v>
      </c>
      <c r="CC14" s="40">
        <f t="shared" si="113"/>
        <v>91419</v>
      </c>
      <c r="CD14" s="41">
        <f t="shared" si="114"/>
        <v>48.109080749819761</v>
      </c>
      <c r="CE14" s="42">
        <f t="shared" si="115"/>
        <v>0.25703720783842771</v>
      </c>
      <c r="CF14" s="40" t="e">
        <f t="shared" si="116"/>
        <v>#DIV/0!</v>
      </c>
      <c r="CG14" s="21">
        <f>(CG4*4)+(CG3*2)</f>
        <v>4121.79455180064</v>
      </c>
      <c r="CH14" s="43">
        <v>30</v>
      </c>
      <c r="CI14" s="40">
        <f t="shared" si="117"/>
        <v>182823</v>
      </c>
      <c r="CJ14" s="41">
        <f t="shared" si="118"/>
        <v>96.216449170872394</v>
      </c>
      <c r="CK14" s="42">
        <f t="shared" si="119"/>
        <v>0.26874349298768963</v>
      </c>
      <c r="CL14" s="40" t="e">
        <f t="shared" si="120"/>
        <v>#DIV/0!</v>
      </c>
      <c r="CM14" s="21">
        <f>(CM4*4)+(CM3*2)</f>
        <v>4309.5140759731203</v>
      </c>
      <c r="CN14" s="43">
        <v>70</v>
      </c>
      <c r="CO14" s="40">
        <f t="shared" si="121"/>
        <v>426567</v>
      </c>
      <c r="CP14" s="41">
        <f t="shared" si="122"/>
        <v>224.50276496034607</v>
      </c>
      <c r="CQ14" s="42">
        <f t="shared" si="123"/>
        <v>0.32571987079131309</v>
      </c>
      <c r="CR14" s="40" t="e">
        <f t="shared" si="124"/>
        <v>#DIV/0!</v>
      </c>
      <c r="CS14" s="21">
        <f>(CS4*4)+(CS3*2)</f>
        <v>5223.1752754051204</v>
      </c>
      <c r="CT14" s="44">
        <v>3.05</v>
      </c>
      <c r="CU14" s="30"/>
      <c r="CV14" s="40">
        <f t="shared" si="125"/>
        <v>76511.241600000008</v>
      </c>
      <c r="CW14" s="40">
        <v>15</v>
      </c>
      <c r="CX14" s="40">
        <f t="shared" si="126"/>
        <v>91419</v>
      </c>
      <c r="CY14" s="41">
        <f t="shared" si="127"/>
        <v>48.109080749819761</v>
      </c>
      <c r="CZ14" s="42">
        <f t="shared" si="128"/>
        <v>3.3105703704699758</v>
      </c>
      <c r="DA14" s="40" t="e">
        <f t="shared" si="129"/>
        <v>#DIV/0!</v>
      </c>
      <c r="DB14" s="21">
        <f>(DB4*4)+(DB3*2)</f>
        <v>53087.609498673279</v>
      </c>
      <c r="DC14" s="43">
        <v>30</v>
      </c>
      <c r="DD14" s="40">
        <f t="shared" si="130"/>
        <v>182823</v>
      </c>
      <c r="DE14" s="41">
        <f t="shared" si="131"/>
        <v>96.216449170872394</v>
      </c>
      <c r="DF14" s="42">
        <f t="shared" si="132"/>
        <v>3.3354587942947114</v>
      </c>
      <c r="DG14" s="40" t="e">
        <f t="shared" si="133"/>
        <v>#DIV/0!</v>
      </c>
      <c r="DH14" s="21">
        <f>(DH4*4)+(DH3*2)</f>
        <v>53486.715023458564</v>
      </c>
      <c r="DI14" s="43">
        <v>70</v>
      </c>
      <c r="DJ14" s="40">
        <f t="shared" si="134"/>
        <v>426567</v>
      </c>
      <c r="DK14" s="41">
        <f t="shared" si="135"/>
        <v>224.50276496034607</v>
      </c>
      <c r="DL14" s="42">
        <f t="shared" si="136"/>
        <v>3.4276338134695878</v>
      </c>
      <c r="DM14" s="40" t="e">
        <f t="shared" si="137"/>
        <v>#DIV/0!</v>
      </c>
      <c r="DN14" s="21">
        <f>(DN4*4)+(DN3*2)</f>
        <v>54964.814225679685</v>
      </c>
      <c r="DO14" s="44">
        <v>3.9</v>
      </c>
      <c r="DP14" s="7"/>
      <c r="DQ14" s="40">
        <f t="shared" si="138"/>
        <v>76511.241600000008</v>
      </c>
      <c r="DR14" s="40">
        <v>15</v>
      </c>
      <c r="DS14" s="40">
        <f t="shared" si="139"/>
        <v>91419</v>
      </c>
      <c r="DT14" s="41">
        <f t="shared" si="140"/>
        <v>48.109080749819761</v>
      </c>
      <c r="DU14" s="42">
        <f t="shared" si="141"/>
        <v>0.22596777201205495</v>
      </c>
      <c r="DV14" s="40">
        <f t="shared" si="142"/>
        <v>53.454534166466402</v>
      </c>
      <c r="DW14" s="21">
        <f>(DW4*4)+(DW3*2)</f>
        <v>6850.53341061024</v>
      </c>
      <c r="DX14" s="43">
        <v>30</v>
      </c>
      <c r="DY14" s="40">
        <f t="shared" si="143"/>
        <v>182823</v>
      </c>
      <c r="DZ14" s="41">
        <f t="shared" si="144"/>
        <v>96.216449170872394</v>
      </c>
      <c r="EA14" s="42">
        <f t="shared" si="145"/>
        <v>0.22596777201205495</v>
      </c>
      <c r="EB14" s="40">
        <f t="shared" si="146"/>
        <v>106.90716574541376</v>
      </c>
      <c r="EC14" s="21">
        <f>(EC4*4)+(EC3*2)</f>
        <v>6850.53341061024</v>
      </c>
      <c r="ED14" s="43">
        <v>70</v>
      </c>
      <c r="EE14" s="40">
        <f t="shared" si="147"/>
        <v>426567</v>
      </c>
      <c r="EF14" s="41">
        <f t="shared" si="148"/>
        <v>224.50276496034607</v>
      </c>
      <c r="EG14" s="42">
        <f t="shared" si="149"/>
        <v>0.23553961419879024</v>
      </c>
      <c r="EH14" s="40">
        <f t="shared" si="150"/>
        <v>249.44751662260674</v>
      </c>
      <c r="EI14" s="21">
        <f>(EI4*4)+(EI3*2)</f>
        <v>7140.7173785161604</v>
      </c>
      <c r="EJ14" s="44">
        <v>3.9</v>
      </c>
    </row>
    <row r="15" spans="1:140">
      <c r="A15" s="18" t="str">
        <f t="shared" si="0"/>
        <v>EgSa</v>
      </c>
      <c r="B15" s="19">
        <v>102</v>
      </c>
      <c r="C15" s="18" t="s">
        <v>75</v>
      </c>
      <c r="D15" s="18" t="s">
        <v>76</v>
      </c>
      <c r="E15" s="18" t="s">
        <v>85</v>
      </c>
      <c r="F15" s="20"/>
      <c r="G15" s="21">
        <v>60000</v>
      </c>
      <c r="H15" s="21">
        <f t="shared" ref="H15:M15" si="160">(H5*4)+(H3*2)</f>
        <v>48422</v>
      </c>
      <c r="I15" s="21">
        <f t="shared" si="160"/>
        <v>5384</v>
      </c>
      <c r="J15" s="21">
        <f t="shared" si="160"/>
        <v>3554</v>
      </c>
      <c r="K15" s="21">
        <f t="shared" si="160"/>
        <v>2640</v>
      </c>
      <c r="L15" s="21">
        <f t="shared" si="160"/>
        <v>5078</v>
      </c>
      <c r="M15" s="21">
        <f t="shared" si="160"/>
        <v>780</v>
      </c>
      <c r="N15" s="23">
        <f t="shared" si="87"/>
        <v>9.7633333333333336E-2</v>
      </c>
      <c r="O15" s="179"/>
      <c r="P15" s="180"/>
      <c r="Q15" s="21">
        <f>Q3*2+Q5*4</f>
        <v>2539</v>
      </c>
      <c r="R15" s="21">
        <f t="shared" si="88"/>
        <v>2031.2</v>
      </c>
      <c r="S15" s="21">
        <f t="shared" si="4"/>
        <v>7617</v>
      </c>
      <c r="T15" s="25"/>
      <c r="U15" s="26">
        <f t="shared" si="89"/>
        <v>5858</v>
      </c>
      <c r="V15" s="27">
        <f t="shared" si="90"/>
        <v>9.7633333333333336E-2</v>
      </c>
      <c r="W15" s="27">
        <f t="shared" si="91"/>
        <v>0.13994999999999999</v>
      </c>
      <c r="X15" s="32"/>
      <c r="Y15" s="29">
        <v>1.5</v>
      </c>
      <c r="Z15" s="26">
        <f t="shared" si="92"/>
        <v>8397</v>
      </c>
      <c r="AA15" s="26">
        <f t="shared" si="93"/>
        <v>6717.6</v>
      </c>
      <c r="AB15" s="26">
        <f t="shared" si="94"/>
        <v>10156</v>
      </c>
      <c r="AC15" s="21">
        <f>(AC5*4)+(AC3*2)</f>
        <v>8124.8000000000011</v>
      </c>
      <c r="AD15" s="26">
        <f t="shared" si="95"/>
        <v>6093.6</v>
      </c>
      <c r="AE15" s="26">
        <f t="shared" si="13"/>
        <v>130</v>
      </c>
      <c r="AF15" s="26">
        <f t="shared" si="96"/>
        <v>5963.6</v>
      </c>
      <c r="AG15" s="30"/>
      <c r="AH15" s="26">
        <f t="shared" si="14"/>
        <v>5078</v>
      </c>
      <c r="AI15" s="45">
        <f t="shared" ref="AI15:AJ15" si="161">(AI3*2)+(AI5*4)</f>
        <v>7056.4</v>
      </c>
      <c r="AJ15" s="45">
        <f t="shared" si="161"/>
        <v>8346</v>
      </c>
      <c r="AK15" s="26">
        <f t="shared" si="153"/>
        <v>20480.400000000001</v>
      </c>
      <c r="AL15" s="26">
        <f>AL3*2+AL5*4</f>
        <v>26618.799999999999</v>
      </c>
      <c r="AM15" s="31">
        <f t="shared" si="98"/>
        <v>0.76939606593835941</v>
      </c>
      <c r="AN15" s="28"/>
      <c r="AO15" s="21">
        <f t="shared" ref="AO15:AP15" si="162">AO3*2+AO5*4</f>
        <v>760</v>
      </c>
      <c r="AP15" s="33">
        <f t="shared" si="162"/>
        <v>650</v>
      </c>
      <c r="AQ15" s="26">
        <f t="shared" si="100"/>
        <v>1410</v>
      </c>
      <c r="AR15" s="34"/>
      <c r="AS15" s="21">
        <f>(AS5*4)+(AS3*2)</f>
        <v>52</v>
      </c>
      <c r="AT15" s="20"/>
      <c r="AU15" s="26">
        <v>51</v>
      </c>
      <c r="AV15" s="26">
        <v>157</v>
      </c>
      <c r="AW15" s="26">
        <v>196</v>
      </c>
      <c r="AX15" s="35">
        <f t="shared" ref="AX15:AY15" si="163">AX3*2+AX5*4</f>
        <v>119.48235294117649</v>
      </c>
      <c r="AY15" s="35">
        <f t="shared" si="163"/>
        <v>52</v>
      </c>
      <c r="AZ15" s="35">
        <f t="shared" si="102"/>
        <v>45.06104765655769</v>
      </c>
      <c r="BA15" s="35">
        <f t="shared" si="103"/>
        <v>103.53846153846153</v>
      </c>
      <c r="BB15" s="3"/>
      <c r="BC15" s="36" t="s">
        <v>78</v>
      </c>
      <c r="BD15" s="26">
        <f t="shared" si="104"/>
        <v>5078</v>
      </c>
      <c r="BE15" s="21">
        <f t="shared" ref="BE15:BF15" si="164">(BE5*4)+(BE3*2)</f>
        <v>5989.6</v>
      </c>
      <c r="BF15" s="21" t="e" vm="2">
        <f t="shared" si="164"/>
        <v>#VALUE!</v>
      </c>
      <c r="BG15" s="26" t="e" vm="2">
        <f t="shared" si="106"/>
        <v>#VALUE!</v>
      </c>
      <c r="BH15" s="26">
        <f t="shared" si="107"/>
        <v>2539</v>
      </c>
      <c r="BI15" s="21" t="e" vm="2">
        <f t="shared" ref="BI15:BJ15" si="165">(BI5*4)+(BI3*2)</f>
        <v>#VALUE!</v>
      </c>
      <c r="BJ15" s="21">
        <f t="shared" si="165"/>
        <v>104</v>
      </c>
      <c r="BK15" s="106">
        <v>0.2</v>
      </c>
      <c r="BL15" s="21">
        <f t="shared" ref="BL15:BR15" si="166">(BL5*4)+(BL3*2)</f>
        <v>1218.7200000000003</v>
      </c>
      <c r="BM15" s="21">
        <f t="shared" si="166"/>
        <v>1872</v>
      </c>
      <c r="BN15" s="21">
        <f t="shared" si="166"/>
        <v>3972.8</v>
      </c>
      <c r="BO15" s="21">
        <f t="shared" si="166"/>
        <v>416</v>
      </c>
      <c r="BP15" s="21">
        <f t="shared" si="166"/>
        <v>3450.6000000000004</v>
      </c>
      <c r="BQ15" s="21">
        <f t="shared" si="166"/>
        <v>52</v>
      </c>
      <c r="BR15" s="21" t="e" vm="2">
        <f t="shared" si="166"/>
        <v>#VALUE!</v>
      </c>
      <c r="BS15" s="26"/>
      <c r="BT15" s="21">
        <f t="shared" ref="BT15:BW15" si="167">(BT5*4)+(BT3*2)</f>
        <v>1828.0800000000002</v>
      </c>
      <c r="BU15" s="21">
        <f t="shared" si="167"/>
        <v>35769.432000000001</v>
      </c>
      <c r="BV15" s="21">
        <f t="shared" si="167"/>
        <v>2964</v>
      </c>
      <c r="BW15" s="21">
        <f t="shared" si="167"/>
        <v>1456</v>
      </c>
      <c r="BX15" s="26"/>
      <c r="BY15" s="26">
        <f t="shared" si="111"/>
        <v>0</v>
      </c>
      <c r="BZ15" s="30"/>
      <c r="CA15" s="40">
        <f t="shared" si="112"/>
        <v>76511.241600000008</v>
      </c>
      <c r="CB15" s="40">
        <v>15</v>
      </c>
      <c r="CC15" s="40">
        <f t="shared" si="113"/>
        <v>91419</v>
      </c>
      <c r="CD15" s="41">
        <f t="shared" si="114"/>
        <v>48.109080749819761</v>
      </c>
      <c r="CE15" s="42">
        <f t="shared" si="115"/>
        <v>0.25703720783842771</v>
      </c>
      <c r="CF15" s="40" t="e">
        <f t="shared" si="116"/>
        <v>#DIV/0!</v>
      </c>
      <c r="CG15" s="21">
        <f>(CG5*4)+(CG3*2)</f>
        <v>4121.79455180064</v>
      </c>
      <c r="CH15" s="43">
        <v>30</v>
      </c>
      <c r="CI15" s="40">
        <f t="shared" si="117"/>
        <v>182823</v>
      </c>
      <c r="CJ15" s="41">
        <f t="shared" si="118"/>
        <v>96.216449170872394</v>
      </c>
      <c r="CK15" s="42">
        <f t="shared" si="119"/>
        <v>0.26874349298768963</v>
      </c>
      <c r="CL15" s="40" t="e">
        <f t="shared" si="120"/>
        <v>#DIV/0!</v>
      </c>
      <c r="CM15" s="21">
        <f>(CM5*4)+(CM3*2)</f>
        <v>4309.5140759731203</v>
      </c>
      <c r="CN15" s="43">
        <v>70</v>
      </c>
      <c r="CO15" s="40">
        <f t="shared" si="121"/>
        <v>426567</v>
      </c>
      <c r="CP15" s="41">
        <f t="shared" si="122"/>
        <v>224.50276496034607</v>
      </c>
      <c r="CQ15" s="42">
        <f t="shared" si="123"/>
        <v>0.32571987079131309</v>
      </c>
      <c r="CR15" s="40" t="e">
        <f t="shared" si="124"/>
        <v>#DIV/0!</v>
      </c>
      <c r="CS15" s="21">
        <f>(CS5*4)+(CS3*2)</f>
        <v>5223.1752754051204</v>
      </c>
      <c r="CT15" s="44">
        <v>3.05</v>
      </c>
      <c r="CU15" s="30"/>
      <c r="CV15" s="40">
        <f t="shared" si="125"/>
        <v>76511.241600000008</v>
      </c>
      <c r="CW15" s="40">
        <v>15</v>
      </c>
      <c r="CX15" s="40">
        <f t="shared" si="126"/>
        <v>91419</v>
      </c>
      <c r="CY15" s="41">
        <f t="shared" si="127"/>
        <v>48.109080749819761</v>
      </c>
      <c r="CZ15" s="42">
        <f t="shared" si="128"/>
        <v>3.3031259835285747</v>
      </c>
      <c r="DA15" s="40" t="e">
        <f t="shared" si="129"/>
        <v>#DIV/0!</v>
      </c>
      <c r="DB15" s="21">
        <f>(DB5*4)+(DB3*2)</f>
        <v>52968.232876920323</v>
      </c>
      <c r="DC15" s="43">
        <v>30</v>
      </c>
      <c r="DD15" s="40">
        <f t="shared" si="130"/>
        <v>182823</v>
      </c>
      <c r="DE15" s="41">
        <f t="shared" si="131"/>
        <v>96.216449170872394</v>
      </c>
      <c r="DF15" s="42">
        <f t="shared" si="132"/>
        <v>3.3279770577870722</v>
      </c>
      <c r="DG15" s="40" t="e">
        <f t="shared" si="133"/>
        <v>#DIV/0!</v>
      </c>
      <c r="DH15" s="21">
        <f>(DH5*4)+(DH3*2)</f>
        <v>53366.739471924484</v>
      </c>
      <c r="DI15" s="43">
        <v>70</v>
      </c>
      <c r="DJ15" s="40">
        <f t="shared" si="134"/>
        <v>426567</v>
      </c>
      <c r="DK15" s="41">
        <f t="shared" si="135"/>
        <v>224.50276496034607</v>
      </c>
      <c r="DL15" s="42">
        <f t="shared" si="136"/>
        <v>3.4201520769619482</v>
      </c>
      <c r="DM15" s="40" t="e">
        <f t="shared" si="137"/>
        <v>#DIV/0!</v>
      </c>
      <c r="DN15" s="21">
        <f>(DN5*4)+(DN3*2)</f>
        <v>54844.838674145605</v>
      </c>
      <c r="DO15" s="44">
        <v>3.9</v>
      </c>
      <c r="DP15" s="7"/>
      <c r="DQ15" s="40">
        <f t="shared" si="138"/>
        <v>76511.241600000008</v>
      </c>
      <c r="DR15" s="40">
        <v>15</v>
      </c>
      <c r="DS15" s="40">
        <f t="shared" si="139"/>
        <v>91419</v>
      </c>
      <c r="DT15" s="41">
        <f t="shared" si="140"/>
        <v>48.109080749819761</v>
      </c>
      <c r="DU15" s="42">
        <f t="shared" si="141"/>
        <v>0.22575042449095059</v>
      </c>
      <c r="DV15" s="40">
        <f t="shared" si="142"/>
        <v>53.454534166466402</v>
      </c>
      <c r="DW15" s="21">
        <f>(DW5*4)+(DW3*2)</f>
        <v>6843.9442123286408</v>
      </c>
      <c r="DX15" s="43">
        <v>30</v>
      </c>
      <c r="DY15" s="40">
        <f t="shared" si="143"/>
        <v>182823</v>
      </c>
      <c r="DZ15" s="41">
        <f t="shared" si="144"/>
        <v>96.216449170872394</v>
      </c>
      <c r="EA15" s="42">
        <f t="shared" si="145"/>
        <v>0.22575042449095059</v>
      </c>
      <c r="EB15" s="40">
        <f t="shared" si="146"/>
        <v>106.90716574541376</v>
      </c>
      <c r="EC15" s="21">
        <f>(EC5*4)+(EC3*2)</f>
        <v>6843.9442123286408</v>
      </c>
      <c r="ED15" s="43">
        <v>70</v>
      </c>
      <c r="EE15" s="40">
        <f t="shared" si="147"/>
        <v>426567</v>
      </c>
      <c r="EF15" s="41">
        <f t="shared" si="148"/>
        <v>224.50276496034607</v>
      </c>
      <c r="EG15" s="42">
        <f t="shared" si="149"/>
        <v>0.2353222666611984</v>
      </c>
      <c r="EH15" s="40">
        <f t="shared" si="150"/>
        <v>249.44751662260674</v>
      </c>
      <c r="EI15" s="21">
        <f>(EI5*4)+(EI3*2)</f>
        <v>7134.1281797347201</v>
      </c>
      <c r="EJ15" s="44">
        <v>3.9</v>
      </c>
    </row>
    <row r="16" spans="1:140">
      <c r="A16" s="48" t="str">
        <f t="shared" si="0"/>
        <v>EmGi</v>
      </c>
      <c r="B16" s="49">
        <v>110</v>
      </c>
      <c r="C16" s="48" t="s">
        <v>75</v>
      </c>
      <c r="D16" s="48" t="s">
        <v>81</v>
      </c>
      <c r="E16" s="48" t="s">
        <v>83</v>
      </c>
      <c r="F16" s="20"/>
      <c r="G16" s="50">
        <v>60000</v>
      </c>
      <c r="H16" s="50">
        <f t="shared" ref="H16:M16" si="168">H6*6</f>
        <v>43350</v>
      </c>
      <c r="I16" s="50">
        <f t="shared" si="168"/>
        <v>6984</v>
      </c>
      <c r="J16" s="50">
        <f t="shared" si="168"/>
        <v>5586</v>
      </c>
      <c r="K16" s="50">
        <f t="shared" si="168"/>
        <v>4080</v>
      </c>
      <c r="L16" s="50">
        <f t="shared" si="168"/>
        <v>7032</v>
      </c>
      <c r="M16" s="50">
        <f t="shared" si="168"/>
        <v>1080</v>
      </c>
      <c r="N16" s="107">
        <f t="shared" si="87"/>
        <v>0.13519999999999999</v>
      </c>
      <c r="O16" s="54"/>
      <c r="P16" s="178"/>
      <c r="Q16" s="50">
        <f>Q6*6</f>
        <v>3516</v>
      </c>
      <c r="R16" s="52">
        <f t="shared" si="88"/>
        <v>2812.8</v>
      </c>
      <c r="S16" s="52">
        <f t="shared" si="4"/>
        <v>10548</v>
      </c>
      <c r="T16" s="25"/>
      <c r="U16" s="55">
        <f t="shared" si="89"/>
        <v>8112</v>
      </c>
      <c r="V16" s="56">
        <f t="shared" si="90"/>
        <v>0.13519999999999999</v>
      </c>
      <c r="W16" s="56">
        <f t="shared" si="91"/>
        <v>0.25240000000000001</v>
      </c>
      <c r="X16" s="32"/>
      <c r="Y16" s="57">
        <v>2</v>
      </c>
      <c r="Z16" s="58">
        <f t="shared" si="92"/>
        <v>15144</v>
      </c>
      <c r="AA16" s="58">
        <f t="shared" si="93"/>
        <v>12115.2</v>
      </c>
      <c r="AB16" s="58">
        <f t="shared" si="94"/>
        <v>17580</v>
      </c>
      <c r="AC16" s="50">
        <f>AC6*6</f>
        <v>14064</v>
      </c>
      <c r="AD16" s="58">
        <f t="shared" si="95"/>
        <v>11251.2</v>
      </c>
      <c r="AE16" s="58">
        <f t="shared" si="13"/>
        <v>180</v>
      </c>
      <c r="AF16" s="58">
        <f t="shared" si="96"/>
        <v>11071.2</v>
      </c>
      <c r="AG16" s="30"/>
      <c r="AH16" s="58">
        <f t="shared" si="14"/>
        <v>7032</v>
      </c>
      <c r="AI16" s="50">
        <f t="shared" ref="AI16:AJ16" si="169">AI6*6</f>
        <v>7956</v>
      </c>
      <c r="AJ16" s="58">
        <f t="shared" si="169"/>
        <v>18777.600000000002</v>
      </c>
      <c r="AK16" s="58">
        <f t="shared" si="153"/>
        <v>33765.600000000006</v>
      </c>
      <c r="AL16" s="58">
        <f>AL6*6</f>
        <v>50954.400000000009</v>
      </c>
      <c r="AM16" s="59">
        <f t="shared" si="98"/>
        <v>0.66266308699543119</v>
      </c>
      <c r="AN16" s="32"/>
      <c r="AO16" s="50">
        <f t="shared" ref="AO16:AP16" si="170">AO6*6</f>
        <v>1200</v>
      </c>
      <c r="AP16" s="60">
        <f t="shared" si="170"/>
        <v>900</v>
      </c>
      <c r="AQ16" s="55">
        <f t="shared" si="100"/>
        <v>2100</v>
      </c>
      <c r="AR16" s="34"/>
      <c r="AS16" s="50">
        <f>AS6*6</f>
        <v>72</v>
      </c>
      <c r="AT16" s="20"/>
      <c r="AU16" s="58">
        <v>51</v>
      </c>
      <c r="AV16" s="58">
        <v>157</v>
      </c>
      <c r="AW16" s="58">
        <v>196</v>
      </c>
      <c r="AX16" s="62">
        <f t="shared" ref="AX16:AY16" si="171">AX6*6</f>
        <v>220.61176470588236</v>
      </c>
      <c r="AY16" s="62">
        <f t="shared" si="171"/>
        <v>72</v>
      </c>
      <c r="AZ16" s="62">
        <f t="shared" si="102"/>
        <v>31.657423208191126</v>
      </c>
      <c r="BA16" s="62">
        <f t="shared" si="103"/>
        <v>97</v>
      </c>
      <c r="BB16" s="3"/>
      <c r="BC16" s="63" t="s">
        <v>78</v>
      </c>
      <c r="BD16" s="58">
        <f t="shared" si="104"/>
        <v>7032</v>
      </c>
      <c r="BE16" s="50">
        <f t="shared" ref="BE16:BF16" si="172">BE6*6</f>
        <v>11035.2</v>
      </c>
      <c r="BF16" s="50" t="e" vm="2">
        <f t="shared" si="172"/>
        <v>#VALUE!</v>
      </c>
      <c r="BG16" s="58" t="e" vm="2">
        <f t="shared" si="106"/>
        <v>#VALUE!</v>
      </c>
      <c r="BH16" s="58">
        <f t="shared" si="107"/>
        <v>3516</v>
      </c>
      <c r="BI16" s="50" t="e" vm="2">
        <f t="shared" ref="BI16:BJ16" si="173">BI6*6</f>
        <v>#VALUE!</v>
      </c>
      <c r="BJ16" s="50">
        <f t="shared" si="173"/>
        <v>144</v>
      </c>
      <c r="BK16" s="64">
        <v>0.2</v>
      </c>
      <c r="BL16" s="50">
        <f t="shared" ref="BL16:BR16" si="174">BL6*6</f>
        <v>2250.2400000000002</v>
      </c>
      <c r="BM16" s="50">
        <f t="shared" si="174"/>
        <v>2592</v>
      </c>
      <c r="BN16" s="50">
        <f t="shared" si="174"/>
        <v>5500.8</v>
      </c>
      <c r="BO16" s="50">
        <f t="shared" si="174"/>
        <v>576</v>
      </c>
      <c r="BP16" s="50">
        <f t="shared" si="174"/>
        <v>7519.2000000000007</v>
      </c>
      <c r="BQ16" s="50">
        <f t="shared" si="174"/>
        <v>108</v>
      </c>
      <c r="BR16" s="50" t="e" vm="2">
        <f t="shared" si="174"/>
        <v>#VALUE!</v>
      </c>
      <c r="BS16" s="26"/>
      <c r="BT16" s="50">
        <f t="shared" ref="BT16:BW16" si="175">BT6*6</f>
        <v>3375.3599999999997</v>
      </c>
      <c r="BU16" s="50">
        <f t="shared" si="175"/>
        <v>66044.544000000009</v>
      </c>
      <c r="BV16" s="50">
        <f t="shared" si="175"/>
        <v>4104</v>
      </c>
      <c r="BW16" s="50">
        <f t="shared" si="175"/>
        <v>2016</v>
      </c>
      <c r="BX16" s="58"/>
      <c r="BY16" s="58">
        <f t="shared" si="111"/>
        <v>0</v>
      </c>
      <c r="BZ16" s="30"/>
      <c r="CA16" s="65">
        <f t="shared" si="112"/>
        <v>141270.06720000002</v>
      </c>
      <c r="CB16" s="65">
        <v>15</v>
      </c>
      <c r="CC16" s="65">
        <f t="shared" si="113"/>
        <v>168783</v>
      </c>
      <c r="CD16" s="66">
        <f t="shared" si="114"/>
        <v>88.826975486661865</v>
      </c>
      <c r="CE16" s="67">
        <f t="shared" si="115"/>
        <v>0.22395006160249994</v>
      </c>
      <c r="CF16" s="65" t="e">
        <f t="shared" si="116"/>
        <v>#DIV/0!</v>
      </c>
      <c r="CG16" s="50">
        <f>CG6*6</f>
        <v>6630.8077186895989</v>
      </c>
      <c r="CH16" s="68">
        <v>30</v>
      </c>
      <c r="CI16" s="65">
        <f t="shared" si="117"/>
        <v>337551</v>
      </c>
      <c r="CJ16" s="66">
        <f t="shared" si="118"/>
        <v>177.6522386445566</v>
      </c>
      <c r="CK16" s="67">
        <f t="shared" si="119"/>
        <v>0.25417378226249998</v>
      </c>
      <c r="CL16" s="65" t="e">
        <f t="shared" si="120"/>
        <v>#DIV/0!</v>
      </c>
      <c r="CM16" s="50">
        <f>CM6*6</f>
        <v>7525.6843657680001</v>
      </c>
      <c r="CN16" s="68">
        <v>70</v>
      </c>
      <c r="CO16" s="65">
        <f t="shared" si="121"/>
        <v>787599</v>
      </c>
      <c r="CP16" s="66">
        <f t="shared" si="122"/>
        <v>414.51960706560919</v>
      </c>
      <c r="CQ16" s="67">
        <f t="shared" si="123"/>
        <v>0.31805801369249997</v>
      </c>
      <c r="CR16" s="65" t="e">
        <f t="shared" si="124"/>
        <v>#DIV/0!</v>
      </c>
      <c r="CS16" s="50">
        <f>CS6*6</f>
        <v>9417.1955885711996</v>
      </c>
      <c r="CT16" s="69">
        <v>3.05</v>
      </c>
      <c r="CU16" s="30"/>
      <c r="CV16" s="65">
        <f t="shared" si="125"/>
        <v>141270.06720000002</v>
      </c>
      <c r="CW16" s="65">
        <v>15</v>
      </c>
      <c r="CX16" s="65">
        <f t="shared" si="126"/>
        <v>168783</v>
      </c>
      <c r="CY16" s="66">
        <f t="shared" si="127"/>
        <v>88.826975486661865</v>
      </c>
      <c r="CZ16" s="67">
        <f t="shared" si="128"/>
        <v>2.1412900627625002</v>
      </c>
      <c r="DA16" s="65" t="e">
        <f t="shared" si="129"/>
        <v>#DIV/0!</v>
      </c>
      <c r="DB16" s="50">
        <f>DB6*6</f>
        <v>63400.217774088</v>
      </c>
      <c r="DC16" s="68">
        <v>30</v>
      </c>
      <c r="DD16" s="65">
        <f t="shared" si="130"/>
        <v>337551</v>
      </c>
      <c r="DE16" s="66">
        <f t="shared" si="131"/>
        <v>177.6522386445566</v>
      </c>
      <c r="DF16" s="67">
        <f t="shared" si="132"/>
        <v>2.183864984365</v>
      </c>
      <c r="DG16" s="65" t="e">
        <f t="shared" si="133"/>
        <v>#DIV/0!</v>
      </c>
      <c r="DH16" s="50">
        <f>DH6*6</f>
        <v>64660.793979177601</v>
      </c>
      <c r="DI16" s="68">
        <v>70</v>
      </c>
      <c r="DJ16" s="65">
        <f t="shared" si="134"/>
        <v>787599</v>
      </c>
      <c r="DK16" s="66">
        <f t="shared" si="135"/>
        <v>414.51960706560919</v>
      </c>
      <c r="DL16" s="67">
        <f t="shared" si="136"/>
        <v>2.2807124858924994</v>
      </c>
      <c r="DM16" s="65" t="e">
        <f t="shared" si="137"/>
        <v>#DIV/0!</v>
      </c>
      <c r="DN16" s="50">
        <f>DN6*6</f>
        <v>67528.295582299193</v>
      </c>
      <c r="DO16" s="69">
        <v>3.9</v>
      </c>
      <c r="DP16" s="7"/>
      <c r="DQ16" s="65">
        <f t="shared" si="138"/>
        <v>141270.06720000002</v>
      </c>
      <c r="DR16" s="65">
        <v>15</v>
      </c>
      <c r="DS16" s="65">
        <f t="shared" si="139"/>
        <v>168783</v>
      </c>
      <c r="DT16" s="66">
        <f t="shared" si="140"/>
        <v>88.826975486661865</v>
      </c>
      <c r="DU16" s="67">
        <f t="shared" si="141"/>
        <v>0.18668962236637499</v>
      </c>
      <c r="DV16" s="65">
        <f t="shared" si="142"/>
        <v>98.696639429624298</v>
      </c>
      <c r="DW16" s="50">
        <f>DW6*6</f>
        <v>10450.160592878399</v>
      </c>
      <c r="DX16" s="68">
        <v>30</v>
      </c>
      <c r="DY16" s="65">
        <f t="shared" si="143"/>
        <v>337551</v>
      </c>
      <c r="DZ16" s="66">
        <f t="shared" si="144"/>
        <v>177.6522386445566</v>
      </c>
      <c r="EA16" s="67">
        <f t="shared" si="145"/>
        <v>0.19684715817037499</v>
      </c>
      <c r="EB16" s="65">
        <f t="shared" si="146"/>
        <v>197.39137627172954</v>
      </c>
      <c r="EC16" s="50">
        <f>EC6*6</f>
        <v>11018.7400298832</v>
      </c>
      <c r="ED16" s="68">
        <v>70</v>
      </c>
      <c r="EE16" s="65">
        <f t="shared" si="147"/>
        <v>787599</v>
      </c>
      <c r="EF16" s="66">
        <f t="shared" si="148"/>
        <v>414.51960706560919</v>
      </c>
      <c r="EG16" s="67">
        <f t="shared" si="149"/>
        <v>0.21691558300500002</v>
      </c>
      <c r="EH16" s="65">
        <f t="shared" si="150"/>
        <v>460.57734118401021</v>
      </c>
      <c r="EI16" s="50">
        <f>EI6*6</f>
        <v>12142.092574656001</v>
      </c>
      <c r="EJ16" s="69">
        <v>3.9</v>
      </c>
    </row>
    <row r="17" spans="1:140">
      <c r="A17" s="48" t="str">
        <f t="shared" si="0"/>
        <v>EmSc</v>
      </c>
      <c r="B17" s="49">
        <v>111</v>
      </c>
      <c r="C17" s="48" t="s">
        <v>75</v>
      </c>
      <c r="D17" s="48" t="s">
        <v>81</v>
      </c>
      <c r="E17" s="48" t="s">
        <v>84</v>
      </c>
      <c r="F17" s="20"/>
      <c r="G17" s="50">
        <v>60000</v>
      </c>
      <c r="H17" s="50">
        <f t="shared" ref="H17:M17" si="176">(H7*4)+(H6*2)</f>
        <v>48450</v>
      </c>
      <c r="I17" s="50">
        <f t="shared" si="176"/>
        <v>4728</v>
      </c>
      <c r="J17" s="50">
        <f t="shared" si="176"/>
        <v>4102</v>
      </c>
      <c r="K17" s="50">
        <f t="shared" si="176"/>
        <v>2720</v>
      </c>
      <c r="L17" s="50">
        <f t="shared" si="176"/>
        <v>5860</v>
      </c>
      <c r="M17" s="50">
        <f t="shared" si="176"/>
        <v>900</v>
      </c>
      <c r="N17" s="107">
        <f t="shared" si="87"/>
        <v>0.11266666666666666</v>
      </c>
      <c r="O17" s="177"/>
      <c r="P17" s="178"/>
      <c r="Q17" s="51">
        <f>Q10*4+Q9*2</f>
        <v>3320.1000000000004</v>
      </c>
      <c r="R17" s="52">
        <f t="shared" si="88"/>
        <v>2656.0800000000004</v>
      </c>
      <c r="S17" s="52">
        <f t="shared" si="4"/>
        <v>9960.3000000000011</v>
      </c>
      <c r="T17" s="25"/>
      <c r="U17" s="55">
        <f t="shared" si="89"/>
        <v>6760</v>
      </c>
      <c r="V17" s="56">
        <f t="shared" si="90"/>
        <v>0.11266666666666666</v>
      </c>
      <c r="W17" s="56">
        <f t="shared" si="91"/>
        <v>0.21033333333333334</v>
      </c>
      <c r="X17" s="32"/>
      <c r="Y17" s="57">
        <v>2</v>
      </c>
      <c r="Z17" s="58">
        <f t="shared" si="92"/>
        <v>12620</v>
      </c>
      <c r="AA17" s="58">
        <f t="shared" si="93"/>
        <v>10096</v>
      </c>
      <c r="AB17" s="58">
        <f t="shared" si="94"/>
        <v>15040.1</v>
      </c>
      <c r="AC17" s="50">
        <f>(AC7*4)+(AC6*2)</f>
        <v>11720</v>
      </c>
      <c r="AD17" s="58">
        <f t="shared" si="95"/>
        <v>9376</v>
      </c>
      <c r="AE17" s="58">
        <f t="shared" si="13"/>
        <v>150</v>
      </c>
      <c r="AF17" s="58">
        <f t="shared" si="96"/>
        <v>9226</v>
      </c>
      <c r="AG17" s="30"/>
      <c r="AH17" s="58">
        <f t="shared" si="14"/>
        <v>5860</v>
      </c>
      <c r="AI17" s="51">
        <f t="shared" ref="AI17:AJ17" si="177">AI6*2+AI7*4</f>
        <v>6630</v>
      </c>
      <c r="AJ17" s="58">
        <f t="shared" si="177"/>
        <v>15648.000000000002</v>
      </c>
      <c r="AK17" s="58">
        <f t="shared" si="153"/>
        <v>28138</v>
      </c>
      <c r="AL17" s="58">
        <f>AL7*4+AL6*2</f>
        <v>42462</v>
      </c>
      <c r="AM17" s="59">
        <f t="shared" si="98"/>
        <v>0.66266308699543119</v>
      </c>
      <c r="AN17" s="32"/>
      <c r="AO17" s="50">
        <f t="shared" ref="AO17:AP17" si="178">AO6*2+AO7*4</f>
        <v>800</v>
      </c>
      <c r="AP17" s="60">
        <f t="shared" si="178"/>
        <v>748</v>
      </c>
      <c r="AQ17" s="55">
        <f t="shared" si="100"/>
        <v>1548</v>
      </c>
      <c r="AR17" s="34"/>
      <c r="AS17" s="50">
        <f>(AS7*4)+(AS6*2)</f>
        <v>60</v>
      </c>
      <c r="AT17" s="20"/>
      <c r="AU17" s="58">
        <v>51</v>
      </c>
      <c r="AV17" s="58">
        <v>157</v>
      </c>
      <c r="AW17" s="58">
        <v>196</v>
      </c>
      <c r="AX17" s="62">
        <f t="shared" ref="AX17:AY17" si="179">AX6*2+AX7*4</f>
        <v>183.84313725490199</v>
      </c>
      <c r="AY17" s="62">
        <f t="shared" si="179"/>
        <v>60</v>
      </c>
      <c r="AZ17" s="62">
        <f t="shared" si="102"/>
        <v>25.71757679180887</v>
      </c>
      <c r="BA17" s="62">
        <f t="shared" si="103"/>
        <v>78.8</v>
      </c>
      <c r="BB17" s="3"/>
      <c r="BC17" s="63" t="s">
        <v>78</v>
      </c>
      <c r="BD17" s="58">
        <f t="shared" si="104"/>
        <v>5860</v>
      </c>
      <c r="BE17" s="50">
        <f t="shared" ref="BE17:BF17" si="180">(BE7*4)+(BE6*2)</f>
        <v>9196</v>
      </c>
      <c r="BF17" s="50" t="e" vm="2">
        <f t="shared" si="180"/>
        <v>#VALUE!</v>
      </c>
      <c r="BG17" s="58" t="e" vm="2">
        <f t="shared" si="106"/>
        <v>#VALUE!</v>
      </c>
      <c r="BH17" s="58">
        <f t="shared" si="107"/>
        <v>3320.1000000000004</v>
      </c>
      <c r="BI17" s="50" t="e" vm="2">
        <f t="shared" ref="BI17:BJ17" si="181">(BI7*4)+(BI6*2)</f>
        <v>#VALUE!</v>
      </c>
      <c r="BJ17" s="50">
        <f t="shared" si="181"/>
        <v>120</v>
      </c>
      <c r="BK17" s="64">
        <v>0.2</v>
      </c>
      <c r="BL17" s="50">
        <f t="shared" ref="BL17:BR17" si="182">(BL7*4)+(BL6*2)</f>
        <v>1875.2000000000003</v>
      </c>
      <c r="BM17" s="50">
        <f t="shared" si="182"/>
        <v>2160</v>
      </c>
      <c r="BN17" s="50">
        <f t="shared" si="182"/>
        <v>4584</v>
      </c>
      <c r="BO17" s="50">
        <f t="shared" si="182"/>
        <v>480</v>
      </c>
      <c r="BP17" s="50">
        <f t="shared" si="182"/>
        <v>6266</v>
      </c>
      <c r="BQ17" s="50">
        <f t="shared" si="182"/>
        <v>90</v>
      </c>
      <c r="BR17" s="50" t="e" vm="2">
        <f t="shared" si="182"/>
        <v>#VALUE!</v>
      </c>
      <c r="BS17" s="26"/>
      <c r="BT17" s="50">
        <f t="shared" ref="BT17:BW17" si="183">(BT7*4)+(BT6*2)</f>
        <v>2812.8</v>
      </c>
      <c r="BU17" s="50">
        <f t="shared" si="183"/>
        <v>55037.12000000001</v>
      </c>
      <c r="BV17" s="50">
        <f t="shared" si="183"/>
        <v>3420</v>
      </c>
      <c r="BW17" s="50">
        <f t="shared" si="183"/>
        <v>1680</v>
      </c>
      <c r="BX17" s="58"/>
      <c r="BY17" s="58">
        <f t="shared" si="111"/>
        <v>0</v>
      </c>
      <c r="BZ17" s="30"/>
      <c r="CA17" s="65">
        <f t="shared" si="112"/>
        <v>117725.056</v>
      </c>
      <c r="CB17" s="65">
        <v>15</v>
      </c>
      <c r="CC17" s="65">
        <f t="shared" si="113"/>
        <v>140655</v>
      </c>
      <c r="CD17" s="66">
        <f t="shared" si="114"/>
        <v>74.02276496034608</v>
      </c>
      <c r="CE17" s="67">
        <f t="shared" si="115"/>
        <v>0.223915712234</v>
      </c>
      <c r="CF17" s="65" t="e">
        <f t="shared" si="116"/>
        <v>#DIV/0!</v>
      </c>
      <c r="CG17" s="50">
        <f>(CG7*4)+(CG6*2)</f>
        <v>5524.8255734367995</v>
      </c>
      <c r="CH17" s="68">
        <v>30</v>
      </c>
      <c r="CI17" s="65">
        <f t="shared" si="117"/>
        <v>281295</v>
      </c>
      <c r="CJ17" s="66">
        <f t="shared" si="118"/>
        <v>148.04381759192503</v>
      </c>
      <c r="CK17" s="67">
        <f t="shared" si="119"/>
        <v>0.25416090126000002</v>
      </c>
      <c r="CL17" s="65" t="e">
        <f t="shared" si="120"/>
        <v>#DIV/0!</v>
      </c>
      <c r="CM17" s="50">
        <f>(CM7*4)+(CM6*2)</f>
        <v>6271.0858163520006</v>
      </c>
      <c r="CN17" s="68">
        <v>70</v>
      </c>
      <c r="CO17" s="65">
        <f t="shared" si="121"/>
        <v>656335</v>
      </c>
      <c r="CP17" s="66">
        <f t="shared" si="122"/>
        <v>345.43329127613549</v>
      </c>
      <c r="CQ17" s="67">
        <f t="shared" si="123"/>
        <v>0.31805801369250003</v>
      </c>
      <c r="CR17" s="65" t="e">
        <f t="shared" si="124"/>
        <v>#DIV/0!</v>
      </c>
      <c r="CS17" s="50">
        <f>(CS7*4)+(CS6*2)</f>
        <v>7847.6629904760011</v>
      </c>
      <c r="CT17" s="69">
        <v>3.05</v>
      </c>
      <c r="CU17" s="30"/>
      <c r="CV17" s="65">
        <f t="shared" si="125"/>
        <v>117725.056</v>
      </c>
      <c r="CW17" s="65">
        <v>15</v>
      </c>
      <c r="CX17" s="65">
        <f t="shared" si="126"/>
        <v>140655</v>
      </c>
      <c r="CY17" s="66">
        <f t="shared" si="127"/>
        <v>74.02276496034608</v>
      </c>
      <c r="CZ17" s="67">
        <f t="shared" si="128"/>
        <v>2.1165815936929997</v>
      </c>
      <c r="DA17" s="65" t="e">
        <f t="shared" si="129"/>
        <v>#DIV/0!</v>
      </c>
      <c r="DB17" s="50">
        <f>(DB7*4)+(DB6*2)</f>
        <v>52223.865848593596</v>
      </c>
      <c r="DC17" s="68">
        <v>30</v>
      </c>
      <c r="DD17" s="65">
        <f t="shared" si="130"/>
        <v>281295</v>
      </c>
      <c r="DE17" s="66">
        <f t="shared" si="131"/>
        <v>148.04381759192503</v>
      </c>
      <c r="DF17" s="67">
        <f t="shared" si="132"/>
        <v>2.1592020444159998</v>
      </c>
      <c r="DG17" s="65" t="e">
        <f t="shared" si="133"/>
        <v>#DIV/0!</v>
      </c>
      <c r="DH17" s="50">
        <f>(DH7*4)+(DH6*2)</f>
        <v>53275.4693906432</v>
      </c>
      <c r="DI17" s="68">
        <v>70</v>
      </c>
      <c r="DJ17" s="65">
        <f t="shared" si="134"/>
        <v>656335</v>
      </c>
      <c r="DK17" s="66">
        <f t="shared" si="135"/>
        <v>345.43329127613549</v>
      </c>
      <c r="DL17" s="67">
        <f t="shared" si="136"/>
        <v>2.2560586517790004</v>
      </c>
      <c r="DM17" s="65" t="e">
        <f t="shared" si="137"/>
        <v>#DIV/0!</v>
      </c>
      <c r="DN17" s="50">
        <f>(DN7*4)+(DN6*2)</f>
        <v>55665.278734420805</v>
      </c>
      <c r="DO17" s="69">
        <v>3.9</v>
      </c>
      <c r="DP17" s="7"/>
      <c r="DQ17" s="65">
        <f t="shared" si="138"/>
        <v>117725.056</v>
      </c>
      <c r="DR17" s="65">
        <v>15</v>
      </c>
      <c r="DS17" s="65">
        <f t="shared" si="139"/>
        <v>140655</v>
      </c>
      <c r="DT17" s="66">
        <f t="shared" si="140"/>
        <v>74.02276496034608</v>
      </c>
      <c r="DU17" s="67">
        <f t="shared" si="141"/>
        <v>0.18597600968955</v>
      </c>
      <c r="DV17" s="65">
        <f t="shared" si="142"/>
        <v>82.247516622606753</v>
      </c>
      <c r="DW17" s="50">
        <f>(DW7*4)+(DW6*2)</f>
        <v>8675.1794370608004</v>
      </c>
      <c r="DX17" s="68">
        <v>30</v>
      </c>
      <c r="DY17" s="65">
        <f t="shared" si="143"/>
        <v>281295</v>
      </c>
      <c r="DZ17" s="66">
        <f t="shared" si="144"/>
        <v>148.04381759192503</v>
      </c>
      <c r="EA17" s="67">
        <f t="shared" si="145"/>
        <v>0.19613354549354997</v>
      </c>
      <c r="EB17" s="65">
        <f t="shared" si="146"/>
        <v>164.49313065769448</v>
      </c>
      <c r="EC17" s="50">
        <f>(EC7*4)+(EC6*2)</f>
        <v>9148.9956345647988</v>
      </c>
      <c r="ED17" s="68">
        <v>70</v>
      </c>
      <c r="EE17" s="65">
        <f t="shared" si="147"/>
        <v>656335</v>
      </c>
      <c r="EF17" s="66">
        <f t="shared" si="148"/>
        <v>345.43329127613549</v>
      </c>
      <c r="EG17" s="67">
        <f t="shared" si="149"/>
        <v>0.21620197032817501</v>
      </c>
      <c r="EH17" s="65">
        <f t="shared" si="150"/>
        <v>383.81476808459496</v>
      </c>
      <c r="EI17" s="50">
        <f>(EI7*4)+(EI6*2)</f>
        <v>10085.1227552088</v>
      </c>
      <c r="EJ17" s="69">
        <v>3.9</v>
      </c>
    </row>
    <row r="18" spans="1:140">
      <c r="A18" s="48" t="str">
        <f t="shared" si="0"/>
        <v>EmSa</v>
      </c>
      <c r="B18" s="49">
        <v>112</v>
      </c>
      <c r="C18" s="48" t="s">
        <v>75</v>
      </c>
      <c r="D18" s="48" t="s">
        <v>81</v>
      </c>
      <c r="E18" s="48" t="s">
        <v>85</v>
      </c>
      <c r="F18" s="20"/>
      <c r="G18" s="50">
        <v>60000</v>
      </c>
      <c r="H18" s="50">
        <f t="shared" ref="H18:M18" si="184">(H8*4)+(H6*2)</f>
        <v>48422</v>
      </c>
      <c r="I18" s="50">
        <f t="shared" si="184"/>
        <v>5384</v>
      </c>
      <c r="J18" s="50">
        <f t="shared" si="184"/>
        <v>3554</v>
      </c>
      <c r="K18" s="50">
        <f t="shared" si="184"/>
        <v>2640</v>
      </c>
      <c r="L18" s="50">
        <f t="shared" si="184"/>
        <v>5468</v>
      </c>
      <c r="M18" s="50">
        <f t="shared" si="184"/>
        <v>840</v>
      </c>
      <c r="N18" s="107">
        <f t="shared" si="87"/>
        <v>0.10513333333333333</v>
      </c>
      <c r="O18" s="179"/>
      <c r="P18" s="180"/>
      <c r="Q18" s="50">
        <f>Q9*2+Q11*4</f>
        <v>3124.8</v>
      </c>
      <c r="R18" s="52">
        <f t="shared" si="88"/>
        <v>2499.84</v>
      </c>
      <c r="S18" s="52">
        <f t="shared" si="4"/>
        <v>9374.4000000000015</v>
      </c>
      <c r="T18" s="25"/>
      <c r="U18" s="55">
        <f t="shared" si="89"/>
        <v>6308</v>
      </c>
      <c r="V18" s="56">
        <f t="shared" si="90"/>
        <v>0.10513333333333333</v>
      </c>
      <c r="W18" s="56">
        <f t="shared" si="91"/>
        <v>0.19626666666666667</v>
      </c>
      <c r="X18" s="32"/>
      <c r="Y18" s="57">
        <v>2</v>
      </c>
      <c r="Z18" s="58">
        <f t="shared" si="92"/>
        <v>11776</v>
      </c>
      <c r="AA18" s="58">
        <f t="shared" si="93"/>
        <v>9420.8000000000011</v>
      </c>
      <c r="AB18" s="58">
        <f t="shared" si="94"/>
        <v>14060.8</v>
      </c>
      <c r="AC18" s="50">
        <f>(AC8*4)+(AC6*2)</f>
        <v>10936</v>
      </c>
      <c r="AD18" s="58">
        <f t="shared" si="95"/>
        <v>8748.8000000000011</v>
      </c>
      <c r="AE18" s="58">
        <f t="shared" si="13"/>
        <v>140</v>
      </c>
      <c r="AF18" s="58">
        <f t="shared" si="96"/>
        <v>8608.8000000000011</v>
      </c>
      <c r="AG18" s="30"/>
      <c r="AH18" s="58">
        <f t="shared" si="14"/>
        <v>5468</v>
      </c>
      <c r="AI18" s="50">
        <f t="shared" ref="AI18:AJ18" si="185">AI6*2+AI8*4</f>
        <v>6188</v>
      </c>
      <c r="AJ18" s="58">
        <f t="shared" si="185"/>
        <v>14604.800000000001</v>
      </c>
      <c r="AK18" s="58">
        <f t="shared" si="153"/>
        <v>26260.800000000003</v>
      </c>
      <c r="AL18" s="58">
        <f>AL6*2+AL8*4</f>
        <v>39631.200000000004</v>
      </c>
      <c r="AM18" s="59">
        <f t="shared" si="98"/>
        <v>0.66262944346878216</v>
      </c>
      <c r="AN18" s="32"/>
      <c r="AO18" s="50">
        <f t="shared" ref="AO18:AP18" si="186">AO6*2+AO8*4</f>
        <v>760</v>
      </c>
      <c r="AP18" s="60">
        <f t="shared" si="186"/>
        <v>700</v>
      </c>
      <c r="AQ18" s="55">
        <f t="shared" si="100"/>
        <v>1460</v>
      </c>
      <c r="AR18" s="34"/>
      <c r="AS18" s="50">
        <f>(AS8*4)+(AS6*2)</f>
        <v>56</v>
      </c>
      <c r="AT18" s="20"/>
      <c r="AU18" s="58">
        <v>51</v>
      </c>
      <c r="AV18" s="58">
        <v>157</v>
      </c>
      <c r="AW18" s="58">
        <v>196</v>
      </c>
      <c r="AX18" s="62">
        <f t="shared" ref="AX18:AY18" si="187">AX6*2+AX8*4</f>
        <v>171.5450980392157</v>
      </c>
      <c r="AY18" s="62">
        <f t="shared" si="187"/>
        <v>56</v>
      </c>
      <c r="AZ18" s="62">
        <f t="shared" si="102"/>
        <v>31.385332845647401</v>
      </c>
      <c r="BA18" s="62">
        <f t="shared" si="103"/>
        <v>96.142857142857139</v>
      </c>
      <c r="BB18" s="3"/>
      <c r="BC18" s="63" t="s">
        <v>78</v>
      </c>
      <c r="BD18" s="58">
        <f t="shared" si="104"/>
        <v>5468</v>
      </c>
      <c r="BE18" s="50">
        <f t="shared" ref="BE18:BF18" si="188">(BE8*4)+(BE6*2)</f>
        <v>8580.7999999999993</v>
      </c>
      <c r="BF18" s="50" t="e" vm="2">
        <f t="shared" si="188"/>
        <v>#VALUE!</v>
      </c>
      <c r="BG18" s="58" t="e" vm="2">
        <f t="shared" si="106"/>
        <v>#VALUE!</v>
      </c>
      <c r="BH18" s="58">
        <f t="shared" si="107"/>
        <v>3124.8</v>
      </c>
      <c r="BI18" s="50" t="e" vm="2">
        <f t="shared" ref="BI18:BJ18" si="189">(BI8*4)+(BI6*2)</f>
        <v>#VALUE!</v>
      </c>
      <c r="BJ18" s="50">
        <f t="shared" si="189"/>
        <v>112</v>
      </c>
      <c r="BK18" s="64">
        <v>0.2</v>
      </c>
      <c r="BL18" s="50">
        <f t="shared" ref="BL18:BR18" si="190">(BL8*4)+(BL6*2)</f>
        <v>1749.7600000000002</v>
      </c>
      <c r="BM18" s="50">
        <f t="shared" si="190"/>
        <v>2016</v>
      </c>
      <c r="BN18" s="50">
        <f t="shared" si="190"/>
        <v>4278.4000000000005</v>
      </c>
      <c r="BO18" s="50">
        <f t="shared" si="190"/>
        <v>448</v>
      </c>
      <c r="BP18" s="50">
        <f t="shared" si="190"/>
        <v>5846.7999999999993</v>
      </c>
      <c r="BQ18" s="50">
        <f t="shared" si="190"/>
        <v>84</v>
      </c>
      <c r="BR18" s="50" t="e" vm="2">
        <f t="shared" si="190"/>
        <v>#VALUE!</v>
      </c>
      <c r="BS18" s="26"/>
      <c r="BT18" s="50">
        <f t="shared" ref="BT18:BW18" si="191">(BT8*4)+(BT6*2)</f>
        <v>2624.6400000000003</v>
      </c>
      <c r="BU18" s="50">
        <f t="shared" si="191"/>
        <v>51355.456000000006</v>
      </c>
      <c r="BV18" s="50">
        <f t="shared" si="191"/>
        <v>3192</v>
      </c>
      <c r="BW18" s="50">
        <f t="shared" si="191"/>
        <v>1568</v>
      </c>
      <c r="BX18" s="58"/>
      <c r="BY18" s="58">
        <f t="shared" si="111"/>
        <v>0</v>
      </c>
      <c r="BZ18" s="30"/>
      <c r="CA18" s="65">
        <f t="shared" si="112"/>
        <v>109849.93280000001</v>
      </c>
      <c r="CB18" s="65">
        <v>15</v>
      </c>
      <c r="CC18" s="65">
        <f t="shared" si="113"/>
        <v>131247.00000000003</v>
      </c>
      <c r="CD18" s="66">
        <f t="shared" si="114"/>
        <v>69.071186012977662</v>
      </c>
      <c r="CE18" s="67">
        <f t="shared" si="115"/>
        <v>0.22395247703782187</v>
      </c>
      <c r="CF18" s="65" t="e">
        <f t="shared" si="116"/>
        <v>#DIV/0!</v>
      </c>
      <c r="CG18" s="50">
        <f>(CG8*4)+(CG6*2)</f>
        <v>5156.0932397592005</v>
      </c>
      <c r="CH18" s="68">
        <v>30</v>
      </c>
      <c r="CI18" s="65">
        <f t="shared" si="117"/>
        <v>262479.00000000006</v>
      </c>
      <c r="CJ18" s="66">
        <f t="shared" si="118"/>
        <v>138.1406596971882</v>
      </c>
      <c r="CK18" s="67">
        <f t="shared" si="119"/>
        <v>0.25417509247998349</v>
      </c>
      <c r="CL18" s="65" t="e">
        <f t="shared" si="120"/>
        <v>#DIV/0!</v>
      </c>
      <c r="CM18" s="50">
        <f>(CM8*4)+(CM6*2)</f>
        <v>5851.9132870760004</v>
      </c>
      <c r="CN18" s="68">
        <v>70</v>
      </c>
      <c r="CO18" s="65">
        <f t="shared" si="121"/>
        <v>612431.00000000012</v>
      </c>
      <c r="CP18" s="66">
        <f t="shared" si="122"/>
        <v>322.32592285508292</v>
      </c>
      <c r="CQ18" s="67">
        <f t="shared" si="123"/>
        <v>0.31808245880110642</v>
      </c>
      <c r="CR18" s="65" t="e">
        <f t="shared" si="124"/>
        <v>#DIV/0!</v>
      </c>
      <c r="CS18" s="50">
        <f>(CS8*4)+(CS6*2)</f>
        <v>7323.2626725240007</v>
      </c>
      <c r="CT18" s="69">
        <v>3.05</v>
      </c>
      <c r="CU18" s="30"/>
      <c r="CV18" s="65">
        <f t="shared" si="125"/>
        <v>109849.93280000001</v>
      </c>
      <c r="CW18" s="65">
        <v>15</v>
      </c>
      <c r="CX18" s="65">
        <f t="shared" si="126"/>
        <v>131247.00000000003</v>
      </c>
      <c r="CY18" s="66">
        <f t="shared" si="127"/>
        <v>69.071186012977662</v>
      </c>
      <c r="CZ18" s="67">
        <f t="shared" si="128"/>
        <v>2.1190657308897567</v>
      </c>
      <c r="DA18" s="65" t="e">
        <f t="shared" si="129"/>
        <v>#DIV/0!</v>
      </c>
      <c r="DB18" s="50">
        <f>(DB8*4)+(DB6*2)</f>
        <v>48787.584911600803</v>
      </c>
      <c r="DC18" s="68">
        <v>30</v>
      </c>
      <c r="DD18" s="65">
        <f t="shared" si="130"/>
        <v>262479.00000000006</v>
      </c>
      <c r="DE18" s="66">
        <f t="shared" si="131"/>
        <v>138.1406596971882</v>
      </c>
      <c r="DF18" s="67">
        <f t="shared" si="132"/>
        <v>2.1616332704696877</v>
      </c>
      <c r="DG18" s="65" t="e">
        <f t="shared" si="133"/>
        <v>#DIV/0!</v>
      </c>
      <c r="DH18" s="50">
        <f>(DH8*4)+(DH6*2)</f>
        <v>49767.624096540007</v>
      </c>
      <c r="DI18" s="68">
        <v>70</v>
      </c>
      <c r="DJ18" s="65">
        <f t="shared" si="134"/>
        <v>612431.00000000012</v>
      </c>
      <c r="DK18" s="66">
        <f t="shared" si="135"/>
        <v>322.32592285508292</v>
      </c>
      <c r="DL18" s="67">
        <f t="shared" si="136"/>
        <v>2.2585207913255956</v>
      </c>
      <c r="DM18" s="65" t="e">
        <f t="shared" si="137"/>
        <v>#DIV/0!</v>
      </c>
      <c r="DN18" s="50">
        <f>(DN8*4)+(DN6*2)</f>
        <v>51998.280787235199</v>
      </c>
      <c r="DO18" s="69">
        <v>3.9</v>
      </c>
      <c r="DP18" s="7"/>
      <c r="DQ18" s="65">
        <f t="shared" si="138"/>
        <v>109849.93280000001</v>
      </c>
      <c r="DR18" s="65">
        <v>15</v>
      </c>
      <c r="DS18" s="65">
        <f t="shared" si="139"/>
        <v>131247.00000000003</v>
      </c>
      <c r="DT18" s="66">
        <f t="shared" si="140"/>
        <v>69.071186012977662</v>
      </c>
      <c r="DU18" s="67">
        <f t="shared" si="141"/>
        <v>0.18606145729661325</v>
      </c>
      <c r="DV18" s="65">
        <f t="shared" si="142"/>
        <v>76.745762236641852</v>
      </c>
      <c r="DW18" s="50">
        <f>(DW8*4)+(DW6*2)</f>
        <v>8098.5794905303992</v>
      </c>
      <c r="DX18" s="68">
        <v>30</v>
      </c>
      <c r="DY18" s="65">
        <f t="shared" si="143"/>
        <v>262479.00000000006</v>
      </c>
      <c r="DZ18" s="66">
        <f t="shared" si="144"/>
        <v>138.1406596971882</v>
      </c>
      <c r="EA18" s="67">
        <f t="shared" si="145"/>
        <v>0.1962213708689679</v>
      </c>
      <c r="EB18" s="65">
        <f t="shared" si="146"/>
        <v>153.48962188576465</v>
      </c>
      <c r="EC18" s="50">
        <f>(EC8*4)+(EC6*2)</f>
        <v>8540.8036291464014</v>
      </c>
      <c r="ED18" s="68">
        <v>70</v>
      </c>
      <c r="EE18" s="65">
        <f t="shared" si="147"/>
        <v>612431.00000000012</v>
      </c>
      <c r="EF18" s="66">
        <f t="shared" si="148"/>
        <v>322.32592285508292</v>
      </c>
      <c r="EG18" s="67">
        <f t="shared" si="149"/>
        <v>0.2162944935064339</v>
      </c>
      <c r="EH18" s="65">
        <f t="shared" si="150"/>
        <v>358.13991428342547</v>
      </c>
      <c r="EI18" s="50">
        <f>(EI8*4)+(EI6*2)</f>
        <v>9414.5137551695989</v>
      </c>
      <c r="EJ18" s="69">
        <v>3.9</v>
      </c>
    </row>
    <row r="19" spans="1:140">
      <c r="A19" s="70" t="str">
        <f t="shared" si="0"/>
        <v>EhGi</v>
      </c>
      <c r="B19" s="71">
        <v>120</v>
      </c>
      <c r="C19" s="70" t="s">
        <v>75</v>
      </c>
      <c r="D19" s="70" t="s">
        <v>82</v>
      </c>
      <c r="E19" s="70" t="s">
        <v>83</v>
      </c>
      <c r="F19" s="20"/>
      <c r="G19" s="72">
        <v>60000</v>
      </c>
      <c r="H19" s="72">
        <f t="shared" ref="H19:M19" si="192">H9*6</f>
        <v>43350</v>
      </c>
      <c r="I19" s="72">
        <f t="shared" si="192"/>
        <v>6984</v>
      </c>
      <c r="J19" s="72">
        <f t="shared" si="192"/>
        <v>5586</v>
      </c>
      <c r="K19" s="72">
        <f t="shared" si="192"/>
        <v>4080</v>
      </c>
      <c r="L19" s="72">
        <f t="shared" si="192"/>
        <v>8202.6</v>
      </c>
      <c r="M19" s="72">
        <f t="shared" si="192"/>
        <v>1260</v>
      </c>
      <c r="N19" s="91">
        <f t="shared" si="87"/>
        <v>0.15771000000000002</v>
      </c>
      <c r="O19" s="76"/>
      <c r="P19" s="181"/>
      <c r="Q19" s="72">
        <f>Q9*6</f>
        <v>4101.3</v>
      </c>
      <c r="R19" s="72">
        <f t="shared" si="88"/>
        <v>3281.0400000000004</v>
      </c>
      <c r="S19" s="72">
        <f t="shared" si="4"/>
        <v>12303.900000000001</v>
      </c>
      <c r="T19" s="25"/>
      <c r="U19" s="77">
        <f t="shared" si="89"/>
        <v>9462.6</v>
      </c>
      <c r="V19" s="78">
        <f t="shared" si="90"/>
        <v>0.15771000000000002</v>
      </c>
      <c r="W19" s="78">
        <f t="shared" si="91"/>
        <v>0.36277500000000001</v>
      </c>
      <c r="X19" s="32"/>
      <c r="Y19" s="79">
        <v>2.5</v>
      </c>
      <c r="Z19" s="77">
        <f t="shared" si="92"/>
        <v>21766.5</v>
      </c>
      <c r="AA19" s="77">
        <f t="shared" si="93"/>
        <v>17413.2</v>
      </c>
      <c r="AB19" s="77">
        <f t="shared" si="94"/>
        <v>24607.8</v>
      </c>
      <c r="AC19" s="72">
        <f>AC9*6</f>
        <v>19686.240000000002</v>
      </c>
      <c r="AD19" s="77">
        <f t="shared" si="95"/>
        <v>16405.2</v>
      </c>
      <c r="AE19" s="77">
        <f t="shared" si="13"/>
        <v>210</v>
      </c>
      <c r="AF19" s="77">
        <f t="shared" si="96"/>
        <v>16195.2</v>
      </c>
      <c r="AG19" s="30"/>
      <c r="AH19" s="77">
        <f t="shared" si="14"/>
        <v>8202.6</v>
      </c>
      <c r="AI19" s="72">
        <f t="shared" ref="AI19:AL19" si="193">AI9*6</f>
        <v>9770.4</v>
      </c>
      <c r="AJ19" s="77">
        <f t="shared" si="193"/>
        <v>20116.8</v>
      </c>
      <c r="AK19" s="58">
        <f t="shared" si="153"/>
        <v>38089.800000000003</v>
      </c>
      <c r="AL19" s="77">
        <f t="shared" si="193"/>
        <v>57988.799999999996</v>
      </c>
      <c r="AM19" s="80">
        <f t="shared" si="98"/>
        <v>0.65684752917804823</v>
      </c>
      <c r="AN19" s="32"/>
      <c r="AO19" s="72">
        <f t="shared" ref="AO19:AP19" si="194">AO9*6</f>
        <v>1200</v>
      </c>
      <c r="AP19" s="81">
        <f t="shared" si="194"/>
        <v>1050</v>
      </c>
      <c r="AQ19" s="82">
        <f t="shared" si="100"/>
        <v>2250</v>
      </c>
      <c r="AR19" s="34"/>
      <c r="AS19" s="72">
        <f>AS9*6</f>
        <v>84</v>
      </c>
      <c r="AT19" s="20"/>
      <c r="AU19" s="77">
        <v>51</v>
      </c>
      <c r="AV19" s="77">
        <v>157</v>
      </c>
      <c r="AW19" s="77">
        <v>196</v>
      </c>
      <c r="AX19" s="83">
        <f t="shared" ref="AX19:AY19" si="195">AX9*6</f>
        <v>321.67058823529419</v>
      </c>
      <c r="AY19" s="83">
        <f t="shared" si="195"/>
        <v>84</v>
      </c>
      <c r="AZ19" s="83">
        <f t="shared" si="102"/>
        <v>21.711652402896636</v>
      </c>
      <c r="BA19" s="83">
        <f t="shared" si="103"/>
        <v>83.142857142857139</v>
      </c>
      <c r="BB19" s="3"/>
      <c r="BC19" s="84" t="s">
        <v>78</v>
      </c>
      <c r="BD19" s="77">
        <f t="shared" si="104"/>
        <v>8202.6</v>
      </c>
      <c r="BE19" s="72">
        <f t="shared" ref="BE19:BF19" si="196">BE9*6</f>
        <v>16069.2</v>
      </c>
      <c r="BF19" s="72" t="e" vm="2">
        <f t="shared" si="196"/>
        <v>#VALUE!</v>
      </c>
      <c r="BG19" s="77" t="e" vm="2">
        <f t="shared" si="106"/>
        <v>#VALUE!</v>
      </c>
      <c r="BH19" s="77">
        <f t="shared" si="107"/>
        <v>4101.3</v>
      </c>
      <c r="BI19" s="72" t="e" vm="2">
        <f t="shared" ref="BI19:BJ19" si="197">BI9*6</f>
        <v>#VALUE!</v>
      </c>
      <c r="BJ19" s="72">
        <f t="shared" si="197"/>
        <v>168</v>
      </c>
      <c r="BK19" s="85">
        <v>0.2</v>
      </c>
      <c r="BL19" s="72">
        <f t="shared" ref="BL19:BR19" si="198">BL9*6</f>
        <v>3281.0400000000009</v>
      </c>
      <c r="BM19" s="72">
        <f t="shared" si="198"/>
        <v>3024</v>
      </c>
      <c r="BN19" s="72">
        <f t="shared" si="198"/>
        <v>6417.6</v>
      </c>
      <c r="BO19" s="72">
        <f t="shared" si="198"/>
        <v>672</v>
      </c>
      <c r="BP19" s="72">
        <f t="shared" si="198"/>
        <v>11967.900000000001</v>
      </c>
      <c r="BQ19" s="72">
        <f t="shared" si="198"/>
        <v>168</v>
      </c>
      <c r="BR19" s="72" t="e" vm="2">
        <f t="shared" si="198"/>
        <v>#VALUE!</v>
      </c>
      <c r="BS19" s="26"/>
      <c r="BT19" s="72">
        <f t="shared" ref="BT19:BW19" si="199">BT9*6</f>
        <v>4921.5600000000013</v>
      </c>
      <c r="BU19" s="72">
        <f t="shared" si="199"/>
        <v>96298.524000000034</v>
      </c>
      <c r="BV19" s="72">
        <f t="shared" si="199"/>
        <v>4788</v>
      </c>
      <c r="BW19" s="72">
        <f t="shared" si="199"/>
        <v>2352</v>
      </c>
      <c r="BX19" s="58"/>
      <c r="BY19" s="58">
        <f t="shared" si="111"/>
        <v>0</v>
      </c>
      <c r="BZ19" s="30"/>
      <c r="CA19" s="86">
        <f t="shared" si="112"/>
        <v>205983.69120000003</v>
      </c>
      <c r="CB19" s="86">
        <v>15</v>
      </c>
      <c r="CC19" s="86">
        <f t="shared" si="113"/>
        <v>246093</v>
      </c>
      <c r="CD19" s="87">
        <f t="shared" si="114"/>
        <v>129.51644917087239</v>
      </c>
      <c r="CE19" s="88">
        <f t="shared" si="115"/>
        <v>0.20405744421120001</v>
      </c>
      <c r="CF19" s="86" t="e">
        <f t="shared" si="116"/>
        <v>#DIV/0!</v>
      </c>
      <c r="CG19" s="72">
        <f>CG9*6</f>
        <v>8809.4820625620487</v>
      </c>
      <c r="CH19" s="89">
        <v>30</v>
      </c>
      <c r="CI19" s="86">
        <f t="shared" si="117"/>
        <v>492171</v>
      </c>
      <c r="CJ19" s="87">
        <f t="shared" si="118"/>
        <v>259.03118601297763</v>
      </c>
      <c r="CK19" s="88">
        <f t="shared" si="119"/>
        <v>0.23001512432880003</v>
      </c>
      <c r="CL19" s="86" t="e">
        <f t="shared" si="120"/>
        <v>#DIV/0!</v>
      </c>
      <c r="CM19" s="72">
        <f>CM9*6</f>
        <v>9930.1160990495537</v>
      </c>
      <c r="CN19" s="89">
        <v>70</v>
      </c>
      <c r="CO19" s="86">
        <f t="shared" si="121"/>
        <v>1148379</v>
      </c>
      <c r="CP19" s="87">
        <f t="shared" si="122"/>
        <v>604.40381759192496</v>
      </c>
      <c r="CQ19" s="88">
        <f t="shared" si="123"/>
        <v>0.285882751248</v>
      </c>
      <c r="CR19" s="86" t="e">
        <f t="shared" si="124"/>
        <v>#DIV/0!</v>
      </c>
      <c r="CS19" s="72">
        <f>CS9*6</f>
        <v>12342.009765193921</v>
      </c>
      <c r="CT19" s="90">
        <v>3.05</v>
      </c>
      <c r="CU19" s="30"/>
      <c r="CV19" s="86">
        <f t="shared" si="125"/>
        <v>205983.69120000003</v>
      </c>
      <c r="CW19" s="86">
        <v>15</v>
      </c>
      <c r="CX19" s="86">
        <f t="shared" si="126"/>
        <v>246093</v>
      </c>
      <c r="CY19" s="87">
        <f t="shared" si="127"/>
        <v>129.51644917087239</v>
      </c>
      <c r="CZ19" s="88">
        <f t="shared" si="128"/>
        <v>1.7976058287480003</v>
      </c>
      <c r="DA19" s="86" t="e">
        <f t="shared" si="129"/>
        <v>#DIV/0!</v>
      </c>
      <c r="DB19" s="72">
        <f>DB9*6</f>
        <v>77605.481952043934</v>
      </c>
      <c r="DC19" s="89">
        <v>30</v>
      </c>
      <c r="DD19" s="86">
        <f t="shared" si="130"/>
        <v>492171</v>
      </c>
      <c r="DE19" s="87">
        <f t="shared" si="131"/>
        <v>259.03118601297763</v>
      </c>
      <c r="DF19" s="88">
        <f t="shared" si="132"/>
        <v>1.8354353175191997</v>
      </c>
      <c r="DG19" s="86" t="e">
        <f t="shared" si="133"/>
        <v>#DIV/0!</v>
      </c>
      <c r="DH19" s="72">
        <f>DH9*6</f>
        <v>79238.640713068366</v>
      </c>
      <c r="DI19" s="89">
        <v>70</v>
      </c>
      <c r="DJ19" s="86">
        <f t="shared" si="134"/>
        <v>1148379</v>
      </c>
      <c r="DK19" s="87">
        <f t="shared" si="135"/>
        <v>604.40381759192496</v>
      </c>
      <c r="DL19" s="88">
        <f t="shared" si="136"/>
        <v>1.9229431673712001</v>
      </c>
      <c r="DM19" s="86" t="e">
        <f t="shared" si="137"/>
        <v>#DIV/0!</v>
      </c>
      <c r="DN19" s="72">
        <f>DN9*6</f>
        <v>83016.492761468457</v>
      </c>
      <c r="DO19" s="90">
        <v>3.9</v>
      </c>
      <c r="DP19" s="7"/>
      <c r="DQ19" s="86">
        <f t="shared" si="138"/>
        <v>205983.69120000003</v>
      </c>
      <c r="DR19" s="86">
        <v>15</v>
      </c>
      <c r="DS19" s="86">
        <f t="shared" si="139"/>
        <v>246093</v>
      </c>
      <c r="DT19" s="87">
        <f t="shared" si="140"/>
        <v>129.51644917087239</v>
      </c>
      <c r="DU19" s="88">
        <f t="shared" si="141"/>
        <v>0.16251160824792002</v>
      </c>
      <c r="DV19" s="86">
        <f t="shared" si="142"/>
        <v>143.90716574541378</v>
      </c>
      <c r="DW19" s="72">
        <f>DW9*6</f>
        <v>13263.857888700386</v>
      </c>
      <c r="DX19" s="89">
        <v>30</v>
      </c>
      <c r="DY19" s="86">
        <f t="shared" si="143"/>
        <v>492171</v>
      </c>
      <c r="DZ19" s="87">
        <f t="shared" si="144"/>
        <v>259.03118601297763</v>
      </c>
      <c r="EA19" s="88">
        <f t="shared" si="145"/>
        <v>0.17063888513328004</v>
      </c>
      <c r="EB19" s="86">
        <f t="shared" si="146"/>
        <v>287.81242890330844</v>
      </c>
      <c r="EC19" s="72">
        <f>EC9*6</f>
        <v>13927.18924571386</v>
      </c>
      <c r="ED19" s="89">
        <v>70</v>
      </c>
      <c r="EE19" s="86">
        <f t="shared" si="147"/>
        <v>1148379</v>
      </c>
      <c r="EF19" s="87">
        <f t="shared" si="148"/>
        <v>604.40381759192496</v>
      </c>
      <c r="EG19" s="88">
        <f t="shared" si="149"/>
        <v>0.18850902764291999</v>
      </c>
      <c r="EH19" s="86">
        <f t="shared" si="150"/>
        <v>671.55979732436106</v>
      </c>
      <c r="EI19" s="72">
        <f>EI9*6</f>
        <v>15385.712936754386</v>
      </c>
      <c r="EJ19" s="90">
        <v>3.9</v>
      </c>
    </row>
    <row r="20" spans="1:140">
      <c r="A20" s="70" t="str">
        <f t="shared" si="0"/>
        <v>EhSc</v>
      </c>
      <c r="B20" s="71">
        <v>121</v>
      </c>
      <c r="C20" s="70" t="s">
        <v>75</v>
      </c>
      <c r="D20" s="70" t="s">
        <v>82</v>
      </c>
      <c r="E20" s="70" t="s">
        <v>84</v>
      </c>
      <c r="F20" s="20"/>
      <c r="G20" s="72">
        <v>60000</v>
      </c>
      <c r="H20" s="72">
        <f t="shared" ref="H20:M20" si="200">(H10*4)+(H9*2)</f>
        <v>48450</v>
      </c>
      <c r="I20" s="72">
        <f t="shared" si="200"/>
        <v>4728</v>
      </c>
      <c r="J20" s="72">
        <f t="shared" si="200"/>
        <v>4102</v>
      </c>
      <c r="K20" s="72">
        <f t="shared" si="200"/>
        <v>2720</v>
      </c>
      <c r="L20" s="72">
        <f t="shared" si="200"/>
        <v>6640.2000000000007</v>
      </c>
      <c r="M20" s="72">
        <f t="shared" si="200"/>
        <v>1020</v>
      </c>
      <c r="N20" s="91">
        <f t="shared" si="87"/>
        <v>0.12767000000000001</v>
      </c>
      <c r="O20" s="177"/>
      <c r="P20" s="181"/>
      <c r="Q20" s="73">
        <f>Q9*2+Q10*4</f>
        <v>3320.1000000000004</v>
      </c>
      <c r="R20" s="72">
        <f t="shared" si="88"/>
        <v>2656.0800000000004</v>
      </c>
      <c r="S20" s="72">
        <f t="shared" si="4"/>
        <v>9960.3000000000011</v>
      </c>
      <c r="T20" s="25"/>
      <c r="U20" s="77">
        <f t="shared" si="89"/>
        <v>7660.2000000000007</v>
      </c>
      <c r="V20" s="78">
        <f t="shared" si="90"/>
        <v>0.12767000000000001</v>
      </c>
      <c r="W20" s="78">
        <f t="shared" si="91"/>
        <v>0.29367500000000002</v>
      </c>
      <c r="X20" s="32"/>
      <c r="Y20" s="79">
        <v>2.5</v>
      </c>
      <c r="Z20" s="77">
        <f t="shared" si="92"/>
        <v>17620.5</v>
      </c>
      <c r="AA20" s="77">
        <f t="shared" si="93"/>
        <v>14096.400000000001</v>
      </c>
      <c r="AB20" s="77">
        <f t="shared" si="94"/>
        <v>19920.599999999999</v>
      </c>
      <c r="AC20" s="72">
        <f>(AC10*4)+(AC9*2)</f>
        <v>15936.48</v>
      </c>
      <c r="AD20" s="77">
        <f t="shared" si="95"/>
        <v>13280.400000000001</v>
      </c>
      <c r="AE20" s="77">
        <f t="shared" si="13"/>
        <v>170</v>
      </c>
      <c r="AF20" s="77">
        <f t="shared" si="96"/>
        <v>13110.400000000001</v>
      </c>
      <c r="AG20" s="30"/>
      <c r="AH20" s="77">
        <f t="shared" si="14"/>
        <v>6640.2000000000007</v>
      </c>
      <c r="AI20" s="73">
        <f t="shared" ref="AI20:AJ20" si="201">AI9*2+AI10*4</f>
        <v>8684.7999999999993</v>
      </c>
      <c r="AJ20" s="77">
        <f t="shared" si="201"/>
        <v>17881.599999999999</v>
      </c>
      <c r="AK20" s="77">
        <f t="shared" si="153"/>
        <v>33206.6</v>
      </c>
      <c r="AL20" s="77">
        <f>AL9*2+AL10*4</f>
        <v>51545.599999999999</v>
      </c>
      <c r="AM20" s="80">
        <f t="shared" si="98"/>
        <v>0.64421793518748449</v>
      </c>
      <c r="AN20" s="32"/>
      <c r="AO20" s="72">
        <f t="shared" ref="AO20:AP20" si="202">AO9*2+AO10*4</f>
        <v>800</v>
      </c>
      <c r="AP20" s="81">
        <f t="shared" si="202"/>
        <v>1050</v>
      </c>
      <c r="AQ20" s="82">
        <f t="shared" si="100"/>
        <v>1850</v>
      </c>
      <c r="AR20" s="34"/>
      <c r="AS20" s="72">
        <f>(AS10*4)+(AS9*2)</f>
        <v>68</v>
      </c>
      <c r="AT20" s="20"/>
      <c r="AU20" s="77">
        <v>51</v>
      </c>
      <c r="AV20" s="77">
        <v>157</v>
      </c>
      <c r="AW20" s="77">
        <v>196</v>
      </c>
      <c r="AX20" s="83">
        <f>AX9*2+AX10*4</f>
        <v>260.40000000000003</v>
      </c>
      <c r="AY20" s="83">
        <f>AY10*4+AY9*2</f>
        <v>68</v>
      </c>
      <c r="AZ20" s="83">
        <f t="shared" si="102"/>
        <v>18.156682027649769</v>
      </c>
      <c r="BA20" s="83">
        <f t="shared" si="103"/>
        <v>69.529411764705884</v>
      </c>
      <c r="BB20" s="3"/>
      <c r="BC20" s="84" t="s">
        <v>78</v>
      </c>
      <c r="BD20" s="77">
        <f t="shared" si="104"/>
        <v>6640.2000000000007</v>
      </c>
      <c r="BE20" s="72">
        <f t="shared" ref="BE20:BF20" si="203">(BE10*4)+(BE9*2)</f>
        <v>13008.400000000001</v>
      </c>
      <c r="BF20" s="72" t="e" vm="2">
        <f t="shared" si="203"/>
        <v>#VALUE!</v>
      </c>
      <c r="BG20" s="77" t="e" vm="2">
        <f t="shared" si="106"/>
        <v>#VALUE!</v>
      </c>
      <c r="BH20" s="77">
        <f t="shared" si="107"/>
        <v>3320.1000000000004</v>
      </c>
      <c r="BI20" s="72" t="e" vm="2">
        <f t="shared" ref="BI20:BJ20" si="204">(BI10*4)+(BI9*2)</f>
        <v>#VALUE!</v>
      </c>
      <c r="BJ20" s="72">
        <f t="shared" si="204"/>
        <v>136</v>
      </c>
      <c r="BK20" s="85">
        <v>0.2</v>
      </c>
      <c r="BL20" s="72">
        <f t="shared" ref="BL20:BR20" si="205">(BL10*4)+(BL9*2)</f>
        <v>2656.0800000000004</v>
      </c>
      <c r="BM20" s="72">
        <f t="shared" si="205"/>
        <v>2448</v>
      </c>
      <c r="BN20" s="72">
        <f t="shared" si="205"/>
        <v>5195.2000000000007</v>
      </c>
      <c r="BO20" s="72">
        <f t="shared" si="205"/>
        <v>544</v>
      </c>
      <c r="BP20" s="72">
        <f t="shared" si="205"/>
        <v>9688.2999999999993</v>
      </c>
      <c r="BQ20" s="72">
        <f t="shared" si="205"/>
        <v>136</v>
      </c>
      <c r="BR20" s="72" t="e" vm="2">
        <f t="shared" si="205"/>
        <v>#VALUE!</v>
      </c>
      <c r="BS20" s="26"/>
      <c r="BT20" s="72">
        <f t="shared" ref="BT20:BW20" si="206">(BT10*4)+(BT9*2)</f>
        <v>3984.1200000000003</v>
      </c>
      <c r="BU20" s="72">
        <f t="shared" si="206"/>
        <v>77955.948000000004</v>
      </c>
      <c r="BV20" s="72">
        <f t="shared" si="206"/>
        <v>3876</v>
      </c>
      <c r="BW20" s="72">
        <f t="shared" si="206"/>
        <v>1904</v>
      </c>
      <c r="BX20" s="58"/>
      <c r="BY20" s="58">
        <f t="shared" si="111"/>
        <v>0</v>
      </c>
      <c r="BZ20" s="30"/>
      <c r="CA20" s="86">
        <f t="shared" si="112"/>
        <v>166748.70240000001</v>
      </c>
      <c r="CB20" s="86">
        <v>15</v>
      </c>
      <c r="CC20" s="86">
        <f t="shared" si="113"/>
        <v>199221.00000000003</v>
      </c>
      <c r="CD20" s="87">
        <f t="shared" si="114"/>
        <v>104.84697548666188</v>
      </c>
      <c r="CE20" s="88">
        <f t="shared" si="115"/>
        <v>0.2040495685010823</v>
      </c>
      <c r="CF20" s="86" t="e">
        <f t="shared" si="116"/>
        <v>#DIV/0!</v>
      </c>
      <c r="CG20" s="72">
        <f>(CG10*4)+(CG9*2)</f>
        <v>7131.2102355836159</v>
      </c>
      <c r="CH20" s="89">
        <v>30</v>
      </c>
      <c r="CI20" s="86">
        <f t="shared" si="117"/>
        <v>398427.00000000006</v>
      </c>
      <c r="CJ20" s="87">
        <f t="shared" si="118"/>
        <v>209.69223864455662</v>
      </c>
      <c r="CK20" s="88">
        <f t="shared" si="119"/>
        <v>0.2300046429273882</v>
      </c>
      <c r="CL20" s="86" t="e">
        <f t="shared" si="120"/>
        <v>#DIV/0!</v>
      </c>
      <c r="CM20" s="72">
        <f>(CM10*4)+(CM9*2)</f>
        <v>8038.2991050865439</v>
      </c>
      <c r="CN20" s="89">
        <v>70</v>
      </c>
      <c r="CO20" s="86">
        <f t="shared" si="121"/>
        <v>929643.00000000012</v>
      </c>
      <c r="CP20" s="87">
        <f t="shared" si="122"/>
        <v>489.27960706560924</v>
      </c>
      <c r="CQ20" s="88">
        <f t="shared" si="123"/>
        <v>0.28583298649270583</v>
      </c>
      <c r="CR20" s="86" t="e">
        <f t="shared" si="124"/>
        <v>#DIV/0!</v>
      </c>
      <c r="CS20" s="72">
        <f>(CS10*4)+(CS9*2)</f>
        <v>9989.4115626782404</v>
      </c>
      <c r="CT20" s="90">
        <v>3.05</v>
      </c>
      <c r="CU20" s="30"/>
      <c r="CV20" s="86">
        <f t="shared" si="125"/>
        <v>166748.70240000001</v>
      </c>
      <c r="CW20" s="86">
        <v>15</v>
      </c>
      <c r="CX20" s="86">
        <f t="shared" si="126"/>
        <v>199221.00000000003</v>
      </c>
      <c r="CY20" s="87">
        <f t="shared" si="127"/>
        <v>104.84697548666188</v>
      </c>
      <c r="CZ20" s="88">
        <f t="shared" si="128"/>
        <v>1.9393861958887058</v>
      </c>
      <c r="DA20" s="86" t="e">
        <f t="shared" si="129"/>
        <v>#DIV/0!</v>
      </c>
      <c r="DB20" s="72">
        <f>(DB10*4)+(DB9*2)</f>
        <v>67778.485357579921</v>
      </c>
      <c r="DC20" s="89">
        <v>30</v>
      </c>
      <c r="DD20" s="86">
        <f t="shared" si="130"/>
        <v>398427.00000000006</v>
      </c>
      <c r="DE20" s="87">
        <f t="shared" si="131"/>
        <v>209.69223864455662</v>
      </c>
      <c r="DF20" s="88">
        <f t="shared" si="132"/>
        <v>1.9772118873064937</v>
      </c>
      <c r="DG20" s="86" t="e">
        <f t="shared" si="133"/>
        <v>#DIV/0!</v>
      </c>
      <c r="DH20" s="72">
        <f>(DH10*4)+(DH9*2)</f>
        <v>69100.43354785569</v>
      </c>
      <c r="DI20" s="89">
        <v>70</v>
      </c>
      <c r="DJ20" s="86">
        <f t="shared" si="134"/>
        <v>929643.00000000012</v>
      </c>
      <c r="DK20" s="87">
        <f t="shared" si="135"/>
        <v>489.27960706560924</v>
      </c>
      <c r="DL20" s="88">
        <f t="shared" si="136"/>
        <v>2.0646752444606116</v>
      </c>
      <c r="DM20" s="86" t="e">
        <f t="shared" si="137"/>
        <v>#DIV/0!</v>
      </c>
      <c r="DN20" s="72">
        <f>(DN10*4)+(DN9*2)</f>
        <v>72157.139780354497</v>
      </c>
      <c r="DO20" s="90">
        <v>3.9</v>
      </c>
      <c r="DP20" s="7"/>
      <c r="DQ20" s="86">
        <f t="shared" si="138"/>
        <v>166748.70240000001</v>
      </c>
      <c r="DR20" s="86">
        <v>15</v>
      </c>
      <c r="DS20" s="86">
        <f t="shared" si="139"/>
        <v>199221.00000000003</v>
      </c>
      <c r="DT20" s="87">
        <f t="shared" si="140"/>
        <v>104.84697548666188</v>
      </c>
      <c r="DU20" s="88">
        <f t="shared" si="141"/>
        <v>0.16257320986243762</v>
      </c>
      <c r="DV20" s="86">
        <f t="shared" si="142"/>
        <v>116.49663942962431</v>
      </c>
      <c r="DW20" s="72">
        <f>(DW10*4)+(DW9*2)</f>
        <v>10741.478886851328</v>
      </c>
      <c r="DX20" s="89">
        <v>30</v>
      </c>
      <c r="DY20" s="86">
        <f t="shared" si="143"/>
        <v>398427.00000000006</v>
      </c>
      <c r="DZ20" s="87">
        <f t="shared" si="144"/>
        <v>209.69223864455662</v>
      </c>
      <c r="EA20" s="88">
        <f t="shared" si="145"/>
        <v>0.17069967091008001</v>
      </c>
      <c r="EB20" s="86">
        <f t="shared" si="146"/>
        <v>232.99137627172956</v>
      </c>
      <c r="EC20" s="72">
        <f>(EC10*4)+(EC9*2)</f>
        <v>11278.407510220033</v>
      </c>
      <c r="ED20" s="89">
        <v>70</v>
      </c>
      <c r="EE20" s="86">
        <f t="shared" si="147"/>
        <v>929643.00000000012</v>
      </c>
      <c r="EF20" s="87">
        <f t="shared" si="148"/>
        <v>489.27960706560924</v>
      </c>
      <c r="EG20" s="88">
        <f t="shared" si="149"/>
        <v>0.18856801958694352</v>
      </c>
      <c r="EH20" s="86">
        <f t="shared" si="150"/>
        <v>543.64400785067687</v>
      </c>
      <c r="EI20" s="72">
        <f>(EI10*4)+(EI9*2)</f>
        <v>12458.998643395247</v>
      </c>
      <c r="EJ20" s="90">
        <v>3.9</v>
      </c>
    </row>
    <row r="21" spans="1:140">
      <c r="A21" s="70" t="str">
        <f t="shared" si="0"/>
        <v>EhSa</v>
      </c>
      <c r="B21" s="71">
        <v>122</v>
      </c>
      <c r="C21" s="70" t="s">
        <v>75</v>
      </c>
      <c r="D21" s="70" t="s">
        <v>82</v>
      </c>
      <c r="E21" s="70" t="s">
        <v>85</v>
      </c>
      <c r="F21" s="20"/>
      <c r="G21" s="72">
        <v>60000</v>
      </c>
      <c r="H21" s="72">
        <f t="shared" ref="H21:M21" si="207">(H11*4)+(H9*2)</f>
        <v>48422</v>
      </c>
      <c r="I21" s="72">
        <f t="shared" si="207"/>
        <v>5384</v>
      </c>
      <c r="J21" s="72">
        <f t="shared" si="207"/>
        <v>3554</v>
      </c>
      <c r="K21" s="72">
        <f t="shared" si="207"/>
        <v>2640</v>
      </c>
      <c r="L21" s="72">
        <f t="shared" si="207"/>
        <v>6249.6</v>
      </c>
      <c r="M21" s="72">
        <f t="shared" si="207"/>
        <v>960</v>
      </c>
      <c r="N21" s="91">
        <f t="shared" si="87"/>
        <v>0.12016</v>
      </c>
      <c r="O21" s="179"/>
      <c r="P21" s="182"/>
      <c r="Q21" s="72">
        <f>Q11*4+Q9*2</f>
        <v>3124.8</v>
      </c>
      <c r="R21" s="72">
        <f t="shared" si="88"/>
        <v>2499.84</v>
      </c>
      <c r="S21" s="72">
        <f t="shared" si="4"/>
        <v>9374.4000000000015</v>
      </c>
      <c r="T21" s="25"/>
      <c r="U21" s="77">
        <f t="shared" si="89"/>
        <v>7209.6</v>
      </c>
      <c r="V21" s="78">
        <f t="shared" si="90"/>
        <v>0.12016</v>
      </c>
      <c r="W21" s="78">
        <f t="shared" si="91"/>
        <v>0.27639999999999998</v>
      </c>
      <c r="X21" s="32"/>
      <c r="Y21" s="79">
        <v>2.5</v>
      </c>
      <c r="Z21" s="77">
        <f t="shared" si="92"/>
        <v>16584</v>
      </c>
      <c r="AA21" s="77">
        <f t="shared" si="93"/>
        <v>13267.2</v>
      </c>
      <c r="AB21" s="77">
        <f t="shared" si="94"/>
        <v>18748.8</v>
      </c>
      <c r="AC21" s="72">
        <f>(AC11*4)+(AC9*2)</f>
        <v>14999.04</v>
      </c>
      <c r="AD21" s="77">
        <f t="shared" si="95"/>
        <v>12499.2</v>
      </c>
      <c r="AE21" s="77">
        <f t="shared" si="13"/>
        <v>160</v>
      </c>
      <c r="AF21" s="77">
        <f t="shared" si="96"/>
        <v>12339.2</v>
      </c>
      <c r="AG21" s="30"/>
      <c r="AH21" s="77">
        <f t="shared" si="14"/>
        <v>6249.6</v>
      </c>
      <c r="AI21" s="72">
        <f t="shared" ref="AI21:AJ21" si="208">AI9*2+AI11*4</f>
        <v>8142</v>
      </c>
      <c r="AJ21" s="77">
        <f t="shared" si="208"/>
        <v>16764</v>
      </c>
      <c r="AK21" s="77">
        <f t="shared" si="153"/>
        <v>31155.599999999999</v>
      </c>
      <c r="AL21" s="77">
        <f>AL9*2+AL11*4</f>
        <v>48324</v>
      </c>
      <c r="AM21" s="80">
        <f t="shared" si="98"/>
        <v>0.64472311894710699</v>
      </c>
      <c r="AN21" s="32"/>
      <c r="AO21" s="72">
        <f t="shared" ref="AO21:AP21" si="209">AO9*2+AO11*4</f>
        <v>760</v>
      </c>
      <c r="AP21" s="81">
        <f t="shared" si="209"/>
        <v>850</v>
      </c>
      <c r="AQ21" s="82">
        <f t="shared" si="100"/>
        <v>1610</v>
      </c>
      <c r="AR21" s="34"/>
      <c r="AS21" s="72">
        <f>(AS11*4)+(AS9*2)</f>
        <v>64</v>
      </c>
      <c r="AT21" s="20"/>
      <c r="AU21" s="77">
        <v>51</v>
      </c>
      <c r="AV21" s="77">
        <v>157</v>
      </c>
      <c r="AW21" s="77">
        <v>196</v>
      </c>
      <c r="AX21" s="83">
        <f t="shared" ref="AX21:AY21" si="210">AX9*2+AX11*4</f>
        <v>245.08235294117651</v>
      </c>
      <c r="AY21" s="83">
        <f t="shared" si="210"/>
        <v>64</v>
      </c>
      <c r="AZ21" s="83">
        <f t="shared" si="102"/>
        <v>21.968125960061439</v>
      </c>
      <c r="BA21" s="83">
        <f t="shared" si="103"/>
        <v>84.125</v>
      </c>
      <c r="BB21" s="3"/>
      <c r="BC21" s="84" t="s">
        <v>78</v>
      </c>
      <c r="BD21" s="77">
        <f t="shared" si="104"/>
        <v>6249.6</v>
      </c>
      <c r="BE21" s="72">
        <f t="shared" ref="BE21:BF21" si="211">(BE11*4)+(BE9*2)</f>
        <v>12243.2</v>
      </c>
      <c r="BF21" s="72" t="e" vm="2">
        <f t="shared" si="211"/>
        <v>#VALUE!</v>
      </c>
      <c r="BG21" s="77" t="e" vm="2">
        <f t="shared" si="106"/>
        <v>#VALUE!</v>
      </c>
      <c r="BH21" s="77">
        <f t="shared" si="107"/>
        <v>3124.8</v>
      </c>
      <c r="BI21" s="72" t="e" vm="2">
        <f t="shared" ref="BI21:BJ21" si="212">(BI11*4)+(BI9*2)</f>
        <v>#VALUE!</v>
      </c>
      <c r="BJ21" s="72">
        <f t="shared" si="212"/>
        <v>128</v>
      </c>
      <c r="BK21" s="85">
        <v>0.2</v>
      </c>
      <c r="BL21" s="72">
        <f t="shared" ref="BL21:BR21" si="213">(BL11*4)+(BL9*2)</f>
        <v>2499.84</v>
      </c>
      <c r="BM21" s="72">
        <f t="shared" si="213"/>
        <v>2304</v>
      </c>
      <c r="BN21" s="72">
        <f t="shared" si="213"/>
        <v>4889.6000000000004</v>
      </c>
      <c r="BO21" s="72">
        <f t="shared" si="213"/>
        <v>512</v>
      </c>
      <c r="BP21" s="72">
        <f t="shared" si="213"/>
        <v>9118.4000000000015</v>
      </c>
      <c r="BQ21" s="72">
        <f t="shared" si="213"/>
        <v>128</v>
      </c>
      <c r="BR21" s="72" t="e" vm="2">
        <f t="shared" si="213"/>
        <v>#VALUE!</v>
      </c>
      <c r="BS21" s="26"/>
      <c r="BT21" s="72">
        <f t="shared" ref="BT21:BW21" si="214">(BT11*4)+(BT9*2)</f>
        <v>3749.76</v>
      </c>
      <c r="BU21" s="72">
        <f t="shared" si="214"/>
        <v>73370.304000000004</v>
      </c>
      <c r="BV21" s="72">
        <f t="shared" si="214"/>
        <v>3648</v>
      </c>
      <c r="BW21" s="72">
        <f t="shared" si="214"/>
        <v>1792</v>
      </c>
      <c r="BX21" s="58"/>
      <c r="BY21" s="58">
        <f t="shared" si="111"/>
        <v>0</v>
      </c>
      <c r="BZ21" s="30"/>
      <c r="CA21" s="86">
        <f t="shared" si="112"/>
        <v>156939.95520000003</v>
      </c>
      <c r="CB21" s="86">
        <v>15</v>
      </c>
      <c r="CC21" s="86">
        <f t="shared" si="113"/>
        <v>187503</v>
      </c>
      <c r="CD21" s="87">
        <f t="shared" si="114"/>
        <v>98.679607065609233</v>
      </c>
      <c r="CE21" s="88">
        <f t="shared" si="115"/>
        <v>0.20406540807450002</v>
      </c>
      <c r="CF21" s="86" t="e">
        <f t="shared" si="116"/>
        <v>#DIV/0!</v>
      </c>
      <c r="CG21" s="72">
        <f>(CG11*4)+(CG9*2)</f>
        <v>6712.2482858020812</v>
      </c>
      <c r="CH21" s="89">
        <v>30</v>
      </c>
      <c r="CI21" s="86">
        <f t="shared" si="117"/>
        <v>374991</v>
      </c>
      <c r="CJ21" s="87">
        <f t="shared" si="118"/>
        <v>197.35750180245134</v>
      </c>
      <c r="CK21" s="88">
        <f t="shared" si="119"/>
        <v>0.23000240939295002</v>
      </c>
      <c r="CL21" s="86" t="e">
        <f t="shared" si="120"/>
        <v>#DIV/0!</v>
      </c>
      <c r="CM21" s="72">
        <f>(CM11*4)+(CM9*2)</f>
        <v>7565.3845144325296</v>
      </c>
      <c r="CN21" s="89">
        <v>70</v>
      </c>
      <c r="CO21" s="86">
        <f t="shared" si="121"/>
        <v>874959</v>
      </c>
      <c r="CP21" s="87">
        <f t="shared" si="122"/>
        <v>460.49855443403027</v>
      </c>
      <c r="CQ21" s="88">
        <f t="shared" si="123"/>
        <v>0.28585473259874999</v>
      </c>
      <c r="CR21" s="86" t="e">
        <f t="shared" si="124"/>
        <v>#DIV/0!</v>
      </c>
      <c r="CS21" s="72">
        <f>(CS11*4)+(CS9*2)</f>
        <v>9402.5144044692006</v>
      </c>
      <c r="CT21" s="90">
        <v>3.05</v>
      </c>
      <c r="CU21" s="30"/>
      <c r="CV21" s="86">
        <f t="shared" si="125"/>
        <v>156939.95520000003</v>
      </c>
      <c r="CW21" s="86">
        <v>15</v>
      </c>
      <c r="CX21" s="86">
        <f t="shared" si="126"/>
        <v>187503</v>
      </c>
      <c r="CY21" s="87">
        <f t="shared" si="127"/>
        <v>98.679607065609233</v>
      </c>
      <c r="CZ21" s="88">
        <f t="shared" si="128"/>
        <v>1.9216069417989001</v>
      </c>
      <c r="DA21" s="86" t="e">
        <f t="shared" si="129"/>
        <v>#DIV/0!</v>
      </c>
      <c r="DB21" s="72">
        <f>(DB11*4)+(DB9*2)</f>
        <v>63206.709176138989</v>
      </c>
      <c r="DC21" s="89">
        <v>30</v>
      </c>
      <c r="DD21" s="86">
        <f t="shared" si="130"/>
        <v>374991</v>
      </c>
      <c r="DE21" s="87">
        <f t="shared" si="131"/>
        <v>197.35750180245134</v>
      </c>
      <c r="DF21" s="88">
        <f t="shared" si="132"/>
        <v>1.9593981670799998</v>
      </c>
      <c r="DG21" s="86" t="e">
        <f t="shared" si="133"/>
        <v>#DIV/0!</v>
      </c>
      <c r="DH21" s="72">
        <f>(DH11*4)+(DH9*2)</f>
        <v>64449.762026227196</v>
      </c>
      <c r="DI21" s="89">
        <v>70</v>
      </c>
      <c r="DJ21" s="86">
        <f t="shared" si="134"/>
        <v>874959</v>
      </c>
      <c r="DK21" s="87">
        <f t="shared" si="135"/>
        <v>460.49855443403027</v>
      </c>
      <c r="DL21" s="88">
        <f t="shared" si="136"/>
        <v>2.0469054874134001</v>
      </c>
      <c r="DM21" s="86" t="e">
        <f t="shared" si="137"/>
        <v>#DIV/0!</v>
      </c>
      <c r="DN21" s="72">
        <f>(DN11*4)+(DN9*2)</f>
        <v>67328.10807441466</v>
      </c>
      <c r="DO21" s="90">
        <v>3.9</v>
      </c>
      <c r="DP21" s="7"/>
      <c r="DQ21" s="86">
        <f t="shared" si="138"/>
        <v>156939.95520000003</v>
      </c>
      <c r="DR21" s="86">
        <v>15</v>
      </c>
      <c r="DS21" s="86">
        <f t="shared" si="139"/>
        <v>187503</v>
      </c>
      <c r="DT21" s="87">
        <f t="shared" si="140"/>
        <v>98.679607065609233</v>
      </c>
      <c r="DU21" s="88">
        <f t="shared" si="141"/>
        <v>0.16224337291176003</v>
      </c>
      <c r="DV21" s="86">
        <f t="shared" si="142"/>
        <v>109.64400785067693</v>
      </c>
      <c r="DW21" s="72">
        <f>(DW11*4)+(DW9*2)</f>
        <v>10089.116252232194</v>
      </c>
      <c r="DX21" s="89">
        <v>30</v>
      </c>
      <c r="DY21" s="86">
        <f t="shared" si="143"/>
        <v>374991</v>
      </c>
      <c r="DZ21" s="87">
        <f t="shared" si="144"/>
        <v>197.35750180245134</v>
      </c>
      <c r="EA21" s="88">
        <f t="shared" si="145"/>
        <v>0.170371235071935</v>
      </c>
      <c r="EB21" s="86">
        <f t="shared" si="146"/>
        <v>219.2861131138348</v>
      </c>
      <c r="EC21" s="72">
        <f>(EC11*4)+(EC9*2)</f>
        <v>10594.547967219554</v>
      </c>
      <c r="ED21" s="89">
        <v>70</v>
      </c>
      <c r="EE21" s="86">
        <f t="shared" si="147"/>
        <v>874959</v>
      </c>
      <c r="EF21" s="87">
        <f t="shared" si="148"/>
        <v>460.49855443403027</v>
      </c>
      <c r="EG21" s="88">
        <f t="shared" si="149"/>
        <v>0.18824266447251747</v>
      </c>
      <c r="EH21" s="86">
        <f t="shared" si="150"/>
        <v>511.66506048225585</v>
      </c>
      <c r="EI21" s="72">
        <f>(EI11*4)+(EI9*2)</f>
        <v>11705.884138183537</v>
      </c>
      <c r="EJ21" s="90">
        <v>3.9</v>
      </c>
    </row>
    <row r="22" spans="1:140">
      <c r="A22" s="11" t="str">
        <f t="shared" si="0"/>
        <v/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21">
        <f t="shared" si="4"/>
        <v>0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26"/>
      <c r="AE22" s="11"/>
      <c r="AF22" s="11"/>
      <c r="AG22" s="11"/>
      <c r="AH22" s="11">
        <f t="shared" si="14"/>
        <v>0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102"/>
      <c r="CM22" s="102"/>
      <c r="CN22" s="102"/>
      <c r="CO22" s="102"/>
      <c r="CP22" s="7"/>
      <c r="CQ22" s="7"/>
      <c r="CR22" s="103"/>
      <c r="CS22" s="103"/>
      <c r="CT22" s="104"/>
      <c r="CU22" s="11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105"/>
      <c r="DP22" s="7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105"/>
    </row>
    <row r="23" spans="1:140">
      <c r="A23" s="18" t="str">
        <f t="shared" si="0"/>
        <v>DgKr</v>
      </c>
      <c r="B23" s="19">
        <v>10</v>
      </c>
      <c r="C23" s="18" t="s">
        <v>86</v>
      </c>
      <c r="D23" s="18" t="s">
        <v>76</v>
      </c>
      <c r="E23" s="18" t="s">
        <v>77</v>
      </c>
      <c r="F23" s="3"/>
      <c r="G23" s="21">
        <v>10000</v>
      </c>
      <c r="H23" s="21">
        <v>7225</v>
      </c>
      <c r="I23" s="21">
        <v>1164</v>
      </c>
      <c r="J23" s="21">
        <v>931</v>
      </c>
      <c r="K23" s="21">
        <v>680</v>
      </c>
      <c r="L23" s="21">
        <v>1140</v>
      </c>
      <c r="M23" s="21">
        <f t="shared" ref="M23:M31" si="215">15*AY23</f>
        <v>180</v>
      </c>
      <c r="N23" s="23">
        <f t="shared" ref="N23:N31" si="216">(L23+M23)/G23</f>
        <v>0.13200000000000001</v>
      </c>
      <c r="O23" s="24"/>
      <c r="P23" s="176"/>
      <c r="Q23" s="21">
        <f t="shared" ref="Q23:Q31" si="217">L23*0.5</f>
        <v>570</v>
      </c>
      <c r="R23" s="21">
        <f t="shared" ref="R23:R31" si="218">Q23*0.8</f>
        <v>456</v>
      </c>
      <c r="S23" s="21">
        <f t="shared" si="4"/>
        <v>1710</v>
      </c>
      <c r="T23" s="3"/>
      <c r="U23" s="26">
        <f t="shared" ref="U23:U31" si="219">L23+M23</f>
        <v>1320</v>
      </c>
      <c r="V23" s="27">
        <f t="shared" ref="V23:V31" si="220">U23/G23</f>
        <v>0.13200000000000001</v>
      </c>
      <c r="W23" s="108">
        <f t="shared" ref="W23:W31" si="221">Z23/G23</f>
        <v>0.189</v>
      </c>
      <c r="X23" s="28"/>
      <c r="Y23" s="29">
        <v>1.5</v>
      </c>
      <c r="Z23" s="26">
        <f t="shared" ref="Z23:Z31" si="222">(L23*Y23)+M23</f>
        <v>1890</v>
      </c>
      <c r="AA23" s="26">
        <f t="shared" ref="AA23:AA31" si="223">Z23*0.8</f>
        <v>1512</v>
      </c>
      <c r="AB23" s="26">
        <f t="shared" ref="AB23:AB31" si="224">(L23*Y23)+BH23</f>
        <v>2280</v>
      </c>
      <c r="AC23" s="26">
        <f t="shared" ref="AC23:AC31" si="225">AB23*(1-0.2)</f>
        <v>1824</v>
      </c>
      <c r="AD23" s="26">
        <f t="shared" ref="AD23:AD31" si="226">((L23*Y23)*0.8)</f>
        <v>1368</v>
      </c>
      <c r="AE23" s="26">
        <f t="shared" ref="AE23:AE41" si="227">2.5*AY23</f>
        <v>30</v>
      </c>
      <c r="AF23" s="26">
        <f t="shared" ref="AF23:AF31" si="228">AD23-AE23</f>
        <v>1338</v>
      </c>
      <c r="AG23" s="30"/>
      <c r="AH23" s="26">
        <f t="shared" si="14"/>
        <v>1140</v>
      </c>
      <c r="AI23" s="26">
        <f t="shared" ref="AI23:AI24" si="229">246.8*6</f>
        <v>1480.8000000000002</v>
      </c>
      <c r="AJ23" s="26">
        <f t="shared" ref="AJ23:AJ24" si="230">231*6</f>
        <v>1386</v>
      </c>
      <c r="AK23" s="26">
        <f t="shared" ref="AK23:AK31" si="231">SUM(AH23:AJ23)</f>
        <v>4006.8</v>
      </c>
      <c r="AL23" s="26">
        <f t="shared" ref="AL23:AL24" si="232">1062.5*6</f>
        <v>6375</v>
      </c>
      <c r="AM23" s="31">
        <f t="shared" ref="AM23:AM31" si="233">AK23/AL23</f>
        <v>0.62851764705882351</v>
      </c>
      <c r="AN23" s="3"/>
      <c r="AO23" s="21">
        <v>200</v>
      </c>
      <c r="AP23" s="33">
        <v>150</v>
      </c>
      <c r="AQ23" s="26">
        <f t="shared" ref="AQ23:AQ31" si="234">AO23+AP23</f>
        <v>350</v>
      </c>
      <c r="AR23" s="3"/>
      <c r="AS23" s="26">
        <v>6</v>
      </c>
      <c r="AT23" s="3"/>
      <c r="AU23" s="26">
        <v>47</v>
      </c>
      <c r="AV23" s="26">
        <v>152</v>
      </c>
      <c r="AW23" s="26">
        <v>190</v>
      </c>
      <c r="AX23" s="35">
        <f t="shared" ref="AX23:AX31" si="235">AD23/AU23</f>
        <v>29.106382978723403</v>
      </c>
      <c r="AY23" s="35">
        <f t="shared" ref="AY23:AY31" si="236">AS23*2</f>
        <v>12</v>
      </c>
      <c r="AZ23" s="35">
        <f t="shared" ref="AZ23:AZ31" si="237">I23/AX23</f>
        <v>39.991228070175438</v>
      </c>
      <c r="BA23" s="35">
        <f t="shared" ref="BA23:BA31" si="238">I23/AY23</f>
        <v>97</v>
      </c>
      <c r="BB23" s="3"/>
      <c r="BC23" s="36" t="s">
        <v>78</v>
      </c>
      <c r="BD23" s="26">
        <f t="shared" ref="BD23:BD31" si="239">AH23</f>
        <v>1140</v>
      </c>
      <c r="BE23" s="37">
        <f t="shared" ref="BE23:BE31" si="240">(AC23-(2*BQ23)-R23)</f>
        <v>1356</v>
      </c>
      <c r="BF23" s="37" t="e" vm="1">
        <f>'[1]4 - Flächen'!AJ23</f>
        <v>#VALUE!</v>
      </c>
      <c r="BG23" s="26" t="e" vm="2">
        <f t="shared" ref="BG23:BG31" si="241">BF23-BL23-((2.2*1.1)*BJ23)</f>
        <v>#VALUE!</v>
      </c>
      <c r="BH23" s="26">
        <f t="shared" ref="BH23:BH31" si="242">Q23</f>
        <v>570</v>
      </c>
      <c r="BI23" s="37" t="e" vm="2">
        <f t="shared" ref="BI23:BI31" si="243">(BF23/Y23)*0.5</f>
        <v>#VALUE!</v>
      </c>
      <c r="BJ23" s="38">
        <f t="shared" ref="BJ23:BJ32" si="244">AS23+AY23</f>
        <v>18</v>
      </c>
      <c r="BK23" s="39">
        <v>0.2</v>
      </c>
      <c r="BL23" s="26">
        <f t="shared" ref="BL23:BL31" si="245">AD23*BK23</f>
        <v>273.60000000000002</v>
      </c>
      <c r="BM23" s="26">
        <f t="shared" ref="BM23:BM31" si="246">37.6*AY23</f>
        <v>451.20000000000005</v>
      </c>
      <c r="BN23" s="26">
        <f t="shared" ref="BN23:BN31" si="247">(101-(2*6))*AY23</f>
        <v>1068</v>
      </c>
      <c r="BO23" s="26">
        <f t="shared" ref="BO23:BO31" si="248">6*AY23</f>
        <v>72</v>
      </c>
      <c r="BP23" s="37" cm="1">
        <f t="array" ref="BP23">BE23 - _xlfn.IFS(
    _xlfn.XOR(Y23 &lt; 2.5, Y23 = 2.5), 0.5 * AH23,
    _xlfn.XOR(Y23 &lt; 2.5, Y23 = 2.5) = FALSE, 0
)</f>
        <v>786</v>
      </c>
      <c r="BQ23" s="37">
        <f t="shared" ref="BQ23:BQ31" si="249">(Y23-0.5)*AS23</f>
        <v>6</v>
      </c>
      <c r="BR23" s="37" t="e" vm="1">
        <f>'[1]4 - Flächen'!AI23</f>
        <v>#VALUE!</v>
      </c>
      <c r="BS23" s="26"/>
      <c r="BT23" s="37">
        <f t="shared" ref="BT23:BT31" si="250">0.3*AD23</f>
        <v>410.4</v>
      </c>
      <c r="BU23" s="37">
        <f t="shared" ref="BU23:BU31" si="251">5.87*AD23</f>
        <v>8030.16</v>
      </c>
      <c r="BV23" s="37">
        <f t="shared" ref="BV23:BV31" si="252">57*AY23</f>
        <v>684</v>
      </c>
      <c r="BW23" s="37">
        <f t="shared" ref="BW23:BW31" si="253">28*AY23</f>
        <v>336</v>
      </c>
      <c r="BX23" s="26"/>
      <c r="BY23" s="26">
        <f t="shared" ref="BY23:BY31" si="254">IF(Y23&gt;3,AS23,0)</f>
        <v>0</v>
      </c>
      <c r="BZ23" s="3"/>
      <c r="CA23" s="40">
        <f t="shared" ref="CA23:CA31" si="255">(34.4*365*$AD23)/1000</f>
        <v>17176.608</v>
      </c>
      <c r="CB23" s="43">
        <v>15</v>
      </c>
      <c r="CC23" s="40">
        <f t="shared" ref="CC23:CC31" si="256">$AD23*CB23+($CB23)</f>
        <v>20535</v>
      </c>
      <c r="CD23" s="41">
        <f t="shared" ref="CD23:CD31" si="257">((CC23-$CB23)/1900)+($CB23/8760)</f>
        <v>10.801712328767124</v>
      </c>
      <c r="CE23" s="42">
        <f t="shared" ref="CE23:CE31" si="258">((380*$CG23)/1000)/$AD23</f>
        <v>0.205884333488</v>
      </c>
      <c r="CF23" s="40" t="e">
        <f t="shared" ref="CF23:CF31" si="259">$CD23/$CU23</f>
        <v>#DIV/0!</v>
      </c>
      <c r="CG23" s="40">
        <f t="shared" ref="CG23:CG24" si="260">0.4063506582*AC23</f>
        <v>741.1836005568</v>
      </c>
      <c r="CH23" s="43">
        <v>30</v>
      </c>
      <c r="CI23" s="40">
        <f t="shared" ref="CI23:CI31" si="261">$AD23*CH23+($CB23)</f>
        <v>41055</v>
      </c>
      <c r="CJ23" s="41">
        <f t="shared" ref="CJ23:CJ31" si="262">((CI23-$CB23)/1900)+($CB23/8760)</f>
        <v>21.601712328767125</v>
      </c>
      <c r="CK23" s="42">
        <f t="shared" ref="CK23:CK31" si="263">((380*$CM23)/1000)/$AD23</f>
        <v>0.23081665266933338</v>
      </c>
      <c r="CL23" s="40" t="e">
        <f t="shared" ref="CL23:CL31" si="264">$CJ23/$CU23</f>
        <v>#DIV/0!</v>
      </c>
      <c r="CM23" s="40">
        <f t="shared" ref="CM23:CM24" si="265">0.4555591829*AC23</f>
        <v>830.93994960960003</v>
      </c>
      <c r="CN23" s="43">
        <v>70</v>
      </c>
      <c r="CO23" s="40">
        <f t="shared" ref="CO23:CO31" si="266">$AD23*CN23+($CB23)</f>
        <v>95775</v>
      </c>
      <c r="CP23" s="41">
        <f t="shared" ref="CP23:CP31" si="267">((CO23-$CB23)/1900)+($CB23/8760)</f>
        <v>50.401712328767125</v>
      </c>
      <c r="CQ23" s="42">
        <f t="shared" ref="CQ23:CQ31" si="268">((380*$CS23)/1000)/$AD23</f>
        <v>0.29716573992533335</v>
      </c>
      <c r="CR23" s="40" t="e">
        <f t="shared" ref="CR23:CR31" si="269">$CP23/$CU23</f>
        <v>#DIV/0!</v>
      </c>
      <c r="CS23" s="40">
        <f t="shared" ref="CS23:CS24" si="270">0.5865113288*AC23</f>
        <v>1069.7966637311999</v>
      </c>
      <c r="CT23" s="44">
        <v>3.05</v>
      </c>
      <c r="CU23" s="3"/>
      <c r="CV23" s="40">
        <f t="shared" ref="CV23:CV31" si="271">(34.4*365*$AD23)/1000</f>
        <v>17176.608</v>
      </c>
      <c r="CW23" s="40">
        <v>15</v>
      </c>
      <c r="CX23" s="40">
        <f t="shared" ref="CX23:CX31" si="272">$AD23*CW23+($CW23)</f>
        <v>20535</v>
      </c>
      <c r="CY23" s="41">
        <f t="shared" ref="CY23:CY31" si="273">((CX23-$CW23)/1900)+($CW23/8760)</f>
        <v>10.801712328767124</v>
      </c>
      <c r="CZ23" s="42">
        <f t="shared" ref="CZ23:CZ31" si="274">((380*$DB23)/1000)/$AD23</f>
        <v>3.0998256439253336</v>
      </c>
      <c r="DA23" s="40" t="e">
        <f t="shared" ref="DA23:DA31" si="275">$CY23/$DP23</f>
        <v>#DIV/0!</v>
      </c>
      <c r="DB23" s="40">
        <f>6.1180769288*AC23</f>
        <v>11159.3723181312</v>
      </c>
      <c r="DC23" s="43">
        <v>30</v>
      </c>
      <c r="DD23" s="40">
        <f t="shared" ref="DD23:DD31" si="276">$AD23*DC23+($CW23)</f>
        <v>41055</v>
      </c>
      <c r="DE23" s="41">
        <f t="shared" ref="DE23:DE31" si="277">((DD23-$CW23)/1900)+($CW23/8760)</f>
        <v>21.601712328767125</v>
      </c>
      <c r="DF23" s="42">
        <f t="shared" ref="DF23:DF31" si="278">((380*$DH23)/1000)/$AD23</f>
        <v>3.1379503627626675</v>
      </c>
      <c r="DG23" s="40" t="e">
        <f t="shared" ref="DG23:DG31" si="279">$DE23/$DP23</f>
        <v>#DIV/0!</v>
      </c>
      <c r="DH23" s="40">
        <f>6.1933230844*AC23</f>
        <v>11296.6213059456</v>
      </c>
      <c r="DI23" s="43">
        <v>70</v>
      </c>
      <c r="DJ23" s="40">
        <f t="shared" ref="DJ23:DJ31" si="280">$AD23*DI23+($CW23)</f>
        <v>95775</v>
      </c>
      <c r="DK23" s="41">
        <f t="shared" ref="DK23:DK31" si="281">((DJ23-$CW23)/1900)+($CW23/8760)</f>
        <v>50.401712328767125</v>
      </c>
      <c r="DL23" s="42">
        <f t="shared" ref="DL23:DL31" si="282">((380*$DN23)/1000)/$AD23</f>
        <v>3.2394791823840006</v>
      </c>
      <c r="DM23" s="40" t="e">
        <f t="shared" ref="DM23:DM31" si="283">$DK23/$DP23</f>
        <v>#DIV/0!</v>
      </c>
      <c r="DN23" s="40">
        <f>6.3937089126*AC23</f>
        <v>11662.125056582401</v>
      </c>
      <c r="DO23" s="44">
        <v>3.9</v>
      </c>
      <c r="DP23" s="7"/>
      <c r="DQ23" s="40">
        <f t="shared" ref="DQ23:DQ31" si="284">(34.4*365*$AD23)/1000</f>
        <v>17176.608</v>
      </c>
      <c r="DR23" s="40">
        <v>15</v>
      </c>
      <c r="DS23" s="40">
        <f t="shared" ref="DS23:DS31" si="285">$AD23*DR23+($DR23)</f>
        <v>20535</v>
      </c>
      <c r="DT23" s="41">
        <f t="shared" ref="DT23:DT31" si="286">((DS23-$DR23)/1900)+($DR23/8760)</f>
        <v>10.801712328767124</v>
      </c>
      <c r="DU23" s="42">
        <f t="shared" ref="DU23:DU31" si="287">((201*$DW23)/1000)/$AD23</f>
        <v>0.15603632556719998</v>
      </c>
      <c r="DV23" s="40">
        <f t="shared" ref="DV23:DV31" si="288">$DT23/0.9</f>
        <v>12.001902587519027</v>
      </c>
      <c r="DW23" s="40">
        <f>0.5822250954*AC23</f>
        <v>1061.9785740095999</v>
      </c>
      <c r="DX23" s="43">
        <v>30</v>
      </c>
      <c r="DY23" s="40">
        <f t="shared" ref="DY23:DY31" si="289">$AD23*DX23+($DR23)</f>
        <v>41055</v>
      </c>
      <c r="DZ23" s="41">
        <f t="shared" ref="DZ23:DZ31" si="290">((DY23-$DR23)/1900)+($DR23/8760)</f>
        <v>21.601712328767125</v>
      </c>
      <c r="EA23" s="42">
        <f t="shared" ref="EA23:EA31" si="291">((201*$EC23)/1000)/$AD23</f>
        <v>0.1640332619872</v>
      </c>
      <c r="EB23" s="40">
        <f t="shared" ref="EB23:EB31" si="292">$DZ23/0.9</f>
        <v>24.001902587519027</v>
      </c>
      <c r="EC23" s="40">
        <f>0.6120644104*AC23</f>
        <v>1116.4054845696</v>
      </c>
      <c r="ED23" s="43">
        <v>70</v>
      </c>
      <c r="EE23" s="40">
        <f t="shared" ref="EE23:EE31" si="293">$AD23*ED23+($DR23)</f>
        <v>95775</v>
      </c>
      <c r="EF23" s="41">
        <f t="shared" ref="EF23:EF31" si="294">((EE23-$DR23)/1900)+($DR23/8760)</f>
        <v>50.401712328767125</v>
      </c>
      <c r="EG23" s="42">
        <f t="shared" ref="EG23:EG31" si="295">((201*$EI23)/1000)/$AD23</f>
        <v>0.18542394615480001</v>
      </c>
      <c r="EH23" s="40">
        <f t="shared" ref="EH23:EH31" si="296">$EF23/0.9</f>
        <v>56.001902587519027</v>
      </c>
      <c r="EI23" s="40">
        <f>0.6918803961*AC23</f>
        <v>1261.9898424864</v>
      </c>
      <c r="EJ23" s="44">
        <v>3.9</v>
      </c>
    </row>
    <row r="24" spans="1:140">
      <c r="A24" s="18" t="str">
        <f t="shared" si="0"/>
        <v>DgKu</v>
      </c>
      <c r="B24" s="19">
        <v>11</v>
      </c>
      <c r="C24" s="18" t="s">
        <v>86</v>
      </c>
      <c r="D24" s="18" t="s">
        <v>76</v>
      </c>
      <c r="E24" s="18" t="s">
        <v>79</v>
      </c>
      <c r="F24" s="3"/>
      <c r="G24" s="21">
        <v>10000</v>
      </c>
      <c r="H24" s="45">
        <v>8500</v>
      </c>
      <c r="I24" s="45">
        <v>600</v>
      </c>
      <c r="J24" s="45">
        <v>560</v>
      </c>
      <c r="K24" s="45">
        <v>340</v>
      </c>
      <c r="L24" s="45">
        <v>1140</v>
      </c>
      <c r="M24" s="21">
        <f t="shared" si="215"/>
        <v>180</v>
      </c>
      <c r="N24" s="46">
        <f t="shared" si="216"/>
        <v>0.13200000000000001</v>
      </c>
      <c r="O24" s="177"/>
      <c r="P24" s="178"/>
      <c r="Q24" s="21">
        <f t="shared" si="217"/>
        <v>570</v>
      </c>
      <c r="R24" s="21">
        <f t="shared" si="218"/>
        <v>456</v>
      </c>
      <c r="S24" s="21">
        <f t="shared" si="4"/>
        <v>1710</v>
      </c>
      <c r="T24" s="3"/>
      <c r="U24" s="26">
        <f t="shared" si="219"/>
        <v>1320</v>
      </c>
      <c r="V24" s="27">
        <f t="shared" si="220"/>
        <v>0.13200000000000001</v>
      </c>
      <c r="W24" s="108">
        <f t="shared" si="221"/>
        <v>0.189</v>
      </c>
      <c r="X24" s="28"/>
      <c r="Y24" s="29">
        <v>1.5</v>
      </c>
      <c r="Z24" s="26">
        <f t="shared" si="222"/>
        <v>1890</v>
      </c>
      <c r="AA24" s="26">
        <f t="shared" si="223"/>
        <v>1512</v>
      </c>
      <c r="AB24" s="26">
        <f t="shared" si="224"/>
        <v>2280</v>
      </c>
      <c r="AC24" s="26">
        <f t="shared" si="225"/>
        <v>1824</v>
      </c>
      <c r="AD24" s="26">
        <f t="shared" si="226"/>
        <v>1368</v>
      </c>
      <c r="AE24" s="26">
        <f t="shared" si="227"/>
        <v>30</v>
      </c>
      <c r="AF24" s="26">
        <f t="shared" si="228"/>
        <v>1338</v>
      </c>
      <c r="AG24" s="30"/>
      <c r="AH24" s="26">
        <f t="shared" si="14"/>
        <v>1140</v>
      </c>
      <c r="AI24" s="26">
        <f t="shared" si="229"/>
        <v>1480.8000000000002</v>
      </c>
      <c r="AJ24" s="26">
        <f t="shared" si="230"/>
        <v>1386</v>
      </c>
      <c r="AK24" s="26">
        <f t="shared" si="231"/>
        <v>4006.8</v>
      </c>
      <c r="AL24" s="26">
        <f t="shared" si="232"/>
        <v>6375</v>
      </c>
      <c r="AM24" s="31">
        <f t="shared" si="233"/>
        <v>0.62851764705882351</v>
      </c>
      <c r="AN24" s="3"/>
      <c r="AO24" s="21">
        <v>100</v>
      </c>
      <c r="AP24" s="33">
        <v>150</v>
      </c>
      <c r="AQ24" s="26">
        <f t="shared" si="234"/>
        <v>250</v>
      </c>
      <c r="AR24" s="3"/>
      <c r="AS24" s="26">
        <v>6</v>
      </c>
      <c r="AT24" s="3"/>
      <c r="AU24" s="26">
        <v>47</v>
      </c>
      <c r="AV24" s="26">
        <v>152</v>
      </c>
      <c r="AW24" s="26">
        <v>190</v>
      </c>
      <c r="AX24" s="35">
        <f t="shared" si="235"/>
        <v>29.106382978723403</v>
      </c>
      <c r="AY24" s="35">
        <f t="shared" si="236"/>
        <v>12</v>
      </c>
      <c r="AZ24" s="35">
        <f t="shared" si="237"/>
        <v>20.614035087719298</v>
      </c>
      <c r="BA24" s="35">
        <f t="shared" si="238"/>
        <v>50</v>
      </c>
      <c r="BB24" s="3"/>
      <c r="BC24" s="36" t="s">
        <v>78</v>
      </c>
      <c r="BD24" s="26">
        <f t="shared" si="239"/>
        <v>1140</v>
      </c>
      <c r="BE24" s="37">
        <f t="shared" si="240"/>
        <v>1356</v>
      </c>
      <c r="BF24" s="37" t="e" vm="1">
        <f>'[1]4 - Flächen'!AJ24</f>
        <v>#VALUE!</v>
      </c>
      <c r="BG24" s="26" t="e" vm="2">
        <f t="shared" si="241"/>
        <v>#VALUE!</v>
      </c>
      <c r="BH24" s="26">
        <f t="shared" si="242"/>
        <v>570</v>
      </c>
      <c r="BI24" s="37" t="e" vm="2">
        <f t="shared" si="243"/>
        <v>#VALUE!</v>
      </c>
      <c r="BJ24" s="38">
        <f t="shared" si="244"/>
        <v>18</v>
      </c>
      <c r="BK24" s="39">
        <v>0.2</v>
      </c>
      <c r="BL24" s="26">
        <f t="shared" si="245"/>
        <v>273.60000000000002</v>
      </c>
      <c r="BM24" s="26">
        <f t="shared" si="246"/>
        <v>451.20000000000005</v>
      </c>
      <c r="BN24" s="26">
        <f t="shared" si="247"/>
        <v>1068</v>
      </c>
      <c r="BO24" s="26">
        <f t="shared" si="248"/>
        <v>72</v>
      </c>
      <c r="BP24" s="37" cm="1">
        <f t="array" ref="BP24">BE24 - _xlfn.IFS(
    _xlfn.XOR(Y24 &lt; 2.5, Y24 = 2.5), 0.5 * AH24,
    _xlfn.XOR(Y24 &lt; 2.5, Y24 = 2.5) = FALSE, 0
)</f>
        <v>786</v>
      </c>
      <c r="BQ24" s="37">
        <f t="shared" si="249"/>
        <v>6</v>
      </c>
      <c r="BR24" s="37" t="e" vm="1">
        <f>'[1]4 - Flächen'!AI24</f>
        <v>#VALUE!</v>
      </c>
      <c r="BS24" s="26"/>
      <c r="BT24" s="37">
        <f t="shared" si="250"/>
        <v>410.4</v>
      </c>
      <c r="BU24" s="37">
        <f t="shared" si="251"/>
        <v>8030.16</v>
      </c>
      <c r="BV24" s="37">
        <f t="shared" si="252"/>
        <v>684</v>
      </c>
      <c r="BW24" s="37">
        <f t="shared" si="253"/>
        <v>336</v>
      </c>
      <c r="BX24" s="26"/>
      <c r="BY24" s="26">
        <f t="shared" si="254"/>
        <v>0</v>
      </c>
      <c r="BZ24" s="3"/>
      <c r="CA24" s="40">
        <f t="shared" si="255"/>
        <v>17176.608</v>
      </c>
      <c r="CB24" s="43">
        <v>15</v>
      </c>
      <c r="CC24" s="40">
        <f t="shared" si="256"/>
        <v>20535</v>
      </c>
      <c r="CD24" s="41">
        <f t="shared" si="257"/>
        <v>10.801712328767124</v>
      </c>
      <c r="CE24" s="42">
        <f t="shared" si="258"/>
        <v>0.205884333488</v>
      </c>
      <c r="CF24" s="40" t="e">
        <f t="shared" si="259"/>
        <v>#DIV/0!</v>
      </c>
      <c r="CG24" s="40">
        <f t="shared" si="260"/>
        <v>741.1836005568</v>
      </c>
      <c r="CH24" s="43">
        <v>30</v>
      </c>
      <c r="CI24" s="40">
        <f t="shared" si="261"/>
        <v>41055</v>
      </c>
      <c r="CJ24" s="41">
        <f t="shared" si="262"/>
        <v>21.601712328767125</v>
      </c>
      <c r="CK24" s="42">
        <f t="shared" si="263"/>
        <v>0.23081665266933338</v>
      </c>
      <c r="CL24" s="40" t="e">
        <f t="shared" si="264"/>
        <v>#DIV/0!</v>
      </c>
      <c r="CM24" s="40">
        <f t="shared" si="265"/>
        <v>830.93994960960003</v>
      </c>
      <c r="CN24" s="43">
        <v>70</v>
      </c>
      <c r="CO24" s="40">
        <f t="shared" si="266"/>
        <v>95775</v>
      </c>
      <c r="CP24" s="41">
        <f t="shared" si="267"/>
        <v>50.401712328767125</v>
      </c>
      <c r="CQ24" s="42">
        <f t="shared" si="268"/>
        <v>0.29716573992533335</v>
      </c>
      <c r="CR24" s="40" t="e">
        <f t="shared" si="269"/>
        <v>#DIV/0!</v>
      </c>
      <c r="CS24" s="40">
        <f t="shared" si="270"/>
        <v>1069.7966637311999</v>
      </c>
      <c r="CT24" s="44">
        <v>3.05</v>
      </c>
      <c r="CU24" s="3"/>
      <c r="CV24" s="40">
        <f t="shared" si="271"/>
        <v>17176.608</v>
      </c>
      <c r="CW24" s="40">
        <v>15</v>
      </c>
      <c r="CX24" s="40">
        <f t="shared" si="272"/>
        <v>20535</v>
      </c>
      <c r="CY24" s="41">
        <f t="shared" si="273"/>
        <v>10.801712328767124</v>
      </c>
      <c r="CZ24" s="42">
        <f t="shared" si="274"/>
        <v>3.0162456047173332</v>
      </c>
      <c r="DA24" s="40" t="e">
        <f t="shared" si="275"/>
        <v>#DIV/0!</v>
      </c>
      <c r="DB24" s="40">
        <f>5.9531163251*AC24</f>
        <v>10858.4841769824</v>
      </c>
      <c r="DC24" s="43">
        <v>30</v>
      </c>
      <c r="DD24" s="40">
        <f t="shared" si="276"/>
        <v>41055</v>
      </c>
      <c r="DE24" s="41">
        <f t="shared" si="277"/>
        <v>21.601712328767125</v>
      </c>
      <c r="DF24" s="42">
        <f t="shared" si="278"/>
        <v>3.0543703235546671</v>
      </c>
      <c r="DG24" s="40" t="e">
        <f t="shared" si="279"/>
        <v>#DIV/0!</v>
      </c>
      <c r="DH24" s="40">
        <f>6.0283624807*AC24</f>
        <v>10995.7331647968</v>
      </c>
      <c r="DI24" s="43">
        <v>70</v>
      </c>
      <c r="DJ24" s="40">
        <f t="shared" si="280"/>
        <v>95775</v>
      </c>
      <c r="DK24" s="41">
        <f t="shared" si="281"/>
        <v>50.401712328767125</v>
      </c>
      <c r="DL24" s="42">
        <f t="shared" si="282"/>
        <v>3.1558991431760002</v>
      </c>
      <c r="DM24" s="40" t="e">
        <f t="shared" si="283"/>
        <v>#DIV/0!</v>
      </c>
      <c r="DN24" s="40">
        <f>6.2287483089*AC24</f>
        <v>11361.236915433601</v>
      </c>
      <c r="DO24" s="44">
        <v>3.9</v>
      </c>
      <c r="DP24" s="7"/>
      <c r="DQ24" s="40">
        <f t="shared" si="284"/>
        <v>17176.608</v>
      </c>
      <c r="DR24" s="40">
        <v>15</v>
      </c>
      <c r="DS24" s="40">
        <f t="shared" si="285"/>
        <v>20535</v>
      </c>
      <c r="DT24" s="41">
        <f t="shared" si="286"/>
        <v>10.801712328767124</v>
      </c>
      <c r="DU24" s="42">
        <f t="shared" si="287"/>
        <v>0.1536151822648</v>
      </c>
      <c r="DV24" s="40">
        <f t="shared" si="288"/>
        <v>12.001902587519027</v>
      </c>
      <c r="DW24" s="40">
        <f>0.5731909786*AC24</f>
        <v>1045.5003449664</v>
      </c>
      <c r="DX24" s="43">
        <v>30</v>
      </c>
      <c r="DY24" s="40">
        <f t="shared" si="289"/>
        <v>41055</v>
      </c>
      <c r="DZ24" s="41">
        <f t="shared" si="290"/>
        <v>21.601712328767125</v>
      </c>
      <c r="EA24" s="42">
        <f t="shared" si="291"/>
        <v>0.16161211868480002</v>
      </c>
      <c r="EB24" s="40">
        <f t="shared" si="292"/>
        <v>24.001902587519027</v>
      </c>
      <c r="EC24" s="40">
        <f>0.6030302936*AC24</f>
        <v>1099.9272555264001</v>
      </c>
      <c r="ED24" s="43">
        <v>70</v>
      </c>
      <c r="EE24" s="40">
        <f t="shared" si="293"/>
        <v>95775</v>
      </c>
      <c r="EF24" s="41">
        <f t="shared" si="294"/>
        <v>50.401712328767125</v>
      </c>
      <c r="EG24" s="42">
        <f t="shared" si="295"/>
        <v>0.18300280285239998</v>
      </c>
      <c r="EH24" s="40">
        <f t="shared" si="296"/>
        <v>56.001902587519027</v>
      </c>
      <c r="EI24" s="40">
        <f>0.6828462793*AC24</f>
        <v>1245.5116134431998</v>
      </c>
      <c r="EJ24" s="44">
        <v>3.9</v>
      </c>
    </row>
    <row r="25" spans="1:140">
      <c r="A25" s="18" t="str">
        <f t="shared" si="0"/>
        <v>DgWe</v>
      </c>
      <c r="B25" s="19">
        <v>12</v>
      </c>
      <c r="C25" s="18" t="s">
        <v>86</v>
      </c>
      <c r="D25" s="18" t="s">
        <v>76</v>
      </c>
      <c r="E25" s="18" t="s">
        <v>80</v>
      </c>
      <c r="F25" s="3"/>
      <c r="G25" s="21">
        <v>10000</v>
      </c>
      <c r="H25" s="45">
        <v>8493</v>
      </c>
      <c r="I25" s="45">
        <v>764</v>
      </c>
      <c r="J25" s="45">
        <v>423</v>
      </c>
      <c r="K25" s="45">
        <v>320</v>
      </c>
      <c r="L25" s="45">
        <v>950</v>
      </c>
      <c r="M25" s="21">
        <f t="shared" si="215"/>
        <v>150</v>
      </c>
      <c r="N25" s="46">
        <f t="shared" si="216"/>
        <v>0.11</v>
      </c>
      <c r="O25" s="179"/>
      <c r="P25" s="180"/>
      <c r="Q25" s="21">
        <f t="shared" si="217"/>
        <v>475</v>
      </c>
      <c r="R25" s="21">
        <f t="shared" si="218"/>
        <v>380</v>
      </c>
      <c r="S25" s="21">
        <f t="shared" si="4"/>
        <v>1425</v>
      </c>
      <c r="T25" s="3"/>
      <c r="U25" s="26">
        <f t="shared" si="219"/>
        <v>1100</v>
      </c>
      <c r="V25" s="27">
        <f t="shared" si="220"/>
        <v>0.11</v>
      </c>
      <c r="W25" s="108">
        <f t="shared" si="221"/>
        <v>0.1575</v>
      </c>
      <c r="X25" s="28"/>
      <c r="Y25" s="29">
        <v>1.5</v>
      </c>
      <c r="Z25" s="26">
        <f t="shared" si="222"/>
        <v>1575</v>
      </c>
      <c r="AA25" s="26">
        <f t="shared" si="223"/>
        <v>1260</v>
      </c>
      <c r="AB25" s="26">
        <f t="shared" si="224"/>
        <v>1900</v>
      </c>
      <c r="AC25" s="26">
        <f t="shared" si="225"/>
        <v>1520</v>
      </c>
      <c r="AD25" s="26">
        <f t="shared" si="226"/>
        <v>1140</v>
      </c>
      <c r="AE25" s="26">
        <f t="shared" si="227"/>
        <v>25</v>
      </c>
      <c r="AF25" s="26">
        <f t="shared" si="228"/>
        <v>1115</v>
      </c>
      <c r="AG25" s="30"/>
      <c r="AH25" s="26">
        <f t="shared" si="14"/>
        <v>950</v>
      </c>
      <c r="AI25" s="26">
        <f>246.8*5</f>
        <v>1234</v>
      </c>
      <c r="AJ25" s="26">
        <f>231*5</f>
        <v>1155</v>
      </c>
      <c r="AK25" s="26">
        <f t="shared" si="231"/>
        <v>3339</v>
      </c>
      <c r="AL25" s="26">
        <f>1062.5*5</f>
        <v>5312.5</v>
      </c>
      <c r="AM25" s="31">
        <f t="shared" si="233"/>
        <v>0.62851764705882351</v>
      </c>
      <c r="AN25" s="3"/>
      <c r="AO25" s="21">
        <v>90</v>
      </c>
      <c r="AP25" s="33">
        <v>125</v>
      </c>
      <c r="AQ25" s="26">
        <f t="shared" si="234"/>
        <v>215</v>
      </c>
      <c r="AR25" s="3"/>
      <c r="AS25" s="26">
        <v>5</v>
      </c>
      <c r="AT25" s="3"/>
      <c r="AU25" s="26">
        <v>47</v>
      </c>
      <c r="AV25" s="26">
        <v>152</v>
      </c>
      <c r="AW25" s="26">
        <v>190</v>
      </c>
      <c r="AX25" s="35">
        <f t="shared" si="235"/>
        <v>24.25531914893617</v>
      </c>
      <c r="AY25" s="35">
        <f t="shared" si="236"/>
        <v>10</v>
      </c>
      <c r="AZ25" s="35">
        <f t="shared" si="237"/>
        <v>31.498245614035088</v>
      </c>
      <c r="BA25" s="35">
        <f t="shared" si="238"/>
        <v>76.400000000000006</v>
      </c>
      <c r="BB25" s="3"/>
      <c r="BC25" s="36" t="s">
        <v>78</v>
      </c>
      <c r="BD25" s="26">
        <f t="shared" si="239"/>
        <v>950</v>
      </c>
      <c r="BE25" s="37">
        <f t="shared" si="240"/>
        <v>1130</v>
      </c>
      <c r="BF25" s="37" t="e" vm="1">
        <f>'[1]4 - Flächen'!AJ25</f>
        <v>#VALUE!</v>
      </c>
      <c r="BG25" s="26" t="e" vm="2">
        <f t="shared" si="241"/>
        <v>#VALUE!</v>
      </c>
      <c r="BH25" s="26">
        <f t="shared" si="242"/>
        <v>475</v>
      </c>
      <c r="BI25" s="37" t="e" vm="2">
        <f t="shared" si="243"/>
        <v>#VALUE!</v>
      </c>
      <c r="BJ25" s="38">
        <f t="shared" si="244"/>
        <v>15</v>
      </c>
      <c r="BK25" s="39">
        <v>0.2</v>
      </c>
      <c r="BL25" s="26">
        <f t="shared" si="245"/>
        <v>228</v>
      </c>
      <c r="BM25" s="26">
        <f t="shared" si="246"/>
        <v>376</v>
      </c>
      <c r="BN25" s="26">
        <f t="shared" si="247"/>
        <v>890</v>
      </c>
      <c r="BO25" s="26">
        <f t="shared" si="248"/>
        <v>60</v>
      </c>
      <c r="BP25" s="37" cm="1">
        <f t="array" ref="BP25">BE25 - _xlfn.IFS(
    _xlfn.XOR(Y25 &lt; 2.5, Y25 = 2.5), 0.5 * AH25,
    _xlfn.XOR(Y25 &lt; 2.5, Y25 = 2.5) = FALSE, 0
)</f>
        <v>655</v>
      </c>
      <c r="BQ25" s="37">
        <f t="shared" si="249"/>
        <v>5</v>
      </c>
      <c r="BR25" s="37" t="e" vm="1">
        <f>'[1]4 - Flächen'!AI25</f>
        <v>#VALUE!</v>
      </c>
      <c r="BS25" s="26"/>
      <c r="BT25" s="37">
        <f t="shared" si="250"/>
        <v>342</v>
      </c>
      <c r="BU25" s="37">
        <f t="shared" si="251"/>
        <v>6691.8</v>
      </c>
      <c r="BV25" s="37">
        <f t="shared" si="252"/>
        <v>570</v>
      </c>
      <c r="BW25" s="37">
        <f t="shared" si="253"/>
        <v>280</v>
      </c>
      <c r="BX25" s="26"/>
      <c r="BY25" s="26">
        <f t="shared" si="254"/>
        <v>0</v>
      </c>
      <c r="BZ25" s="3"/>
      <c r="CA25" s="40">
        <f t="shared" si="255"/>
        <v>14313.84</v>
      </c>
      <c r="CB25" s="43">
        <v>15</v>
      </c>
      <c r="CC25" s="40">
        <f t="shared" si="256"/>
        <v>17115</v>
      </c>
      <c r="CD25" s="41">
        <f t="shared" si="257"/>
        <v>9.0017123287671232</v>
      </c>
      <c r="CE25" s="42">
        <f t="shared" si="258"/>
        <v>0.20591866552533336</v>
      </c>
      <c r="CF25" s="40" t="e">
        <f t="shared" si="259"/>
        <v>#DIV/0!</v>
      </c>
      <c r="CG25" s="40">
        <f>0.4064184188*AC25</f>
        <v>617.75599657600003</v>
      </c>
      <c r="CH25" s="43">
        <v>30</v>
      </c>
      <c r="CI25" s="40">
        <f t="shared" si="261"/>
        <v>34215</v>
      </c>
      <c r="CJ25" s="41">
        <f t="shared" si="262"/>
        <v>18.001712328767123</v>
      </c>
      <c r="CK25" s="42">
        <f t="shared" si="263"/>
        <v>0.23085098470666665</v>
      </c>
      <c r="CL25" s="40" t="e">
        <f t="shared" si="264"/>
        <v>#DIV/0!</v>
      </c>
      <c r="CM25" s="40">
        <f>0.4556269435*AC25</f>
        <v>692.55295411999998</v>
      </c>
      <c r="CN25" s="43">
        <v>70</v>
      </c>
      <c r="CO25" s="40">
        <f t="shared" si="266"/>
        <v>79815</v>
      </c>
      <c r="CP25" s="41">
        <f t="shared" si="267"/>
        <v>42.001712328767127</v>
      </c>
      <c r="CQ25" s="42">
        <f t="shared" si="268"/>
        <v>0.29720007196266668</v>
      </c>
      <c r="CR25" s="40" t="e">
        <f t="shared" si="269"/>
        <v>#DIV/0!</v>
      </c>
      <c r="CS25" s="40">
        <f>0.5865790894*AC25</f>
        <v>891.60021588800009</v>
      </c>
      <c r="CT25" s="44">
        <v>3.05</v>
      </c>
      <c r="CU25" s="3"/>
      <c r="CV25" s="40">
        <f t="shared" si="271"/>
        <v>14313.84</v>
      </c>
      <c r="CW25" s="40">
        <v>15</v>
      </c>
      <c r="CX25" s="40">
        <f t="shared" si="272"/>
        <v>17115</v>
      </c>
      <c r="CY25" s="41">
        <f t="shared" si="273"/>
        <v>9.0017123287671232</v>
      </c>
      <c r="CZ25" s="42">
        <f t="shared" si="274"/>
        <v>3.0230050311386663</v>
      </c>
      <c r="DA25" s="40" t="e">
        <f t="shared" si="275"/>
        <v>#DIV/0!</v>
      </c>
      <c r="DB25" s="40">
        <f>5.9664572983*AC25</f>
        <v>9069.0150934159992</v>
      </c>
      <c r="DC25" s="43">
        <v>30</v>
      </c>
      <c r="DD25" s="40">
        <f t="shared" si="276"/>
        <v>34215</v>
      </c>
      <c r="DE25" s="41">
        <f t="shared" si="277"/>
        <v>18.001712328767123</v>
      </c>
      <c r="DF25" s="42">
        <f t="shared" si="278"/>
        <v>3.0611297499760006</v>
      </c>
      <c r="DG25" s="40" t="e">
        <f t="shared" si="279"/>
        <v>#DIV/0!</v>
      </c>
      <c r="DH25" s="40">
        <f>6.0417034539*AC25</f>
        <v>9183.3892499280009</v>
      </c>
      <c r="DI25" s="43">
        <v>70</v>
      </c>
      <c r="DJ25" s="40">
        <f t="shared" si="280"/>
        <v>79815</v>
      </c>
      <c r="DK25" s="41">
        <f t="shared" si="281"/>
        <v>42.001712328767127</v>
      </c>
      <c r="DL25" s="42">
        <f t="shared" si="282"/>
        <v>3.1626585695973337</v>
      </c>
      <c r="DM25" s="40" t="e">
        <f t="shared" si="283"/>
        <v>#DIV/0!</v>
      </c>
      <c r="DN25" s="40">
        <f>6.2420892821*AC25</f>
        <v>9487.9757087920007</v>
      </c>
      <c r="DO25" s="44">
        <v>3.9</v>
      </c>
      <c r="DP25" s="7"/>
      <c r="DQ25" s="40">
        <f t="shared" si="284"/>
        <v>14313.84</v>
      </c>
      <c r="DR25" s="40">
        <v>15</v>
      </c>
      <c r="DS25" s="40">
        <f t="shared" si="285"/>
        <v>17115</v>
      </c>
      <c r="DT25" s="41">
        <f t="shared" si="286"/>
        <v>9.0017123287671232</v>
      </c>
      <c r="DU25" s="42">
        <f t="shared" si="287"/>
        <v>0.1538088712248</v>
      </c>
      <c r="DV25" s="40">
        <f t="shared" si="288"/>
        <v>10.001902587519025</v>
      </c>
      <c r="DW25" s="40">
        <f>0.5739136986*AC25</f>
        <v>872.34882187199992</v>
      </c>
      <c r="DX25" s="43">
        <v>30</v>
      </c>
      <c r="DY25" s="40">
        <f t="shared" si="289"/>
        <v>34215</v>
      </c>
      <c r="DZ25" s="41">
        <f t="shared" si="290"/>
        <v>18.001712328767123</v>
      </c>
      <c r="EA25" s="42">
        <f t="shared" si="291"/>
        <v>0.16180580764479999</v>
      </c>
      <c r="EB25" s="40">
        <f t="shared" si="292"/>
        <v>20.001902587519027</v>
      </c>
      <c r="EC25" s="40">
        <f>0.6037530136*AC25</f>
        <v>917.70458067200002</v>
      </c>
      <c r="ED25" s="43">
        <v>70</v>
      </c>
      <c r="EE25" s="40">
        <f t="shared" si="293"/>
        <v>79815</v>
      </c>
      <c r="EF25" s="41">
        <f t="shared" si="294"/>
        <v>42.001712328767127</v>
      </c>
      <c r="EG25" s="42">
        <f t="shared" si="295"/>
        <v>0.1831964918124</v>
      </c>
      <c r="EH25" s="40">
        <f t="shared" si="296"/>
        <v>46.668569254185698</v>
      </c>
      <c r="EI25" s="40">
        <f>0.6835689993*AC25</f>
        <v>1039.0248789360001</v>
      </c>
      <c r="EJ25" s="44">
        <v>3.9</v>
      </c>
    </row>
    <row r="26" spans="1:140">
      <c r="A26" s="48" t="str">
        <f t="shared" si="0"/>
        <v>DmKr</v>
      </c>
      <c r="B26" s="49">
        <v>13</v>
      </c>
      <c r="C26" s="48" t="s">
        <v>86</v>
      </c>
      <c r="D26" s="48" t="s">
        <v>81</v>
      </c>
      <c r="E26" s="48" t="s">
        <v>77</v>
      </c>
      <c r="F26" s="3"/>
      <c r="G26" s="50">
        <v>10000</v>
      </c>
      <c r="H26" s="51">
        <v>7225</v>
      </c>
      <c r="I26" s="51">
        <v>1164</v>
      </c>
      <c r="J26" s="51">
        <v>931</v>
      </c>
      <c r="K26" s="51">
        <v>680</v>
      </c>
      <c r="L26" s="109">
        <f>190*8</f>
        <v>1520</v>
      </c>
      <c r="M26" s="52">
        <f t="shared" si="215"/>
        <v>240</v>
      </c>
      <c r="N26" s="53">
        <f t="shared" si="216"/>
        <v>0.17599999999999999</v>
      </c>
      <c r="O26" s="54"/>
      <c r="P26" s="178"/>
      <c r="Q26" s="52">
        <f t="shared" si="217"/>
        <v>760</v>
      </c>
      <c r="R26" s="52">
        <f t="shared" si="218"/>
        <v>608</v>
      </c>
      <c r="S26" s="52">
        <f t="shared" si="4"/>
        <v>2280</v>
      </c>
      <c r="T26" s="3"/>
      <c r="U26" s="58">
        <f t="shared" si="219"/>
        <v>1760</v>
      </c>
      <c r="V26" s="56">
        <f t="shared" si="220"/>
        <v>0.17599999999999999</v>
      </c>
      <c r="W26" s="110">
        <f t="shared" si="221"/>
        <v>0.32800000000000001</v>
      </c>
      <c r="X26" s="32"/>
      <c r="Y26" s="57">
        <v>2</v>
      </c>
      <c r="Z26" s="58">
        <f t="shared" si="222"/>
        <v>3280</v>
      </c>
      <c r="AA26" s="58">
        <f t="shared" si="223"/>
        <v>2624</v>
      </c>
      <c r="AB26" s="58">
        <f t="shared" si="224"/>
        <v>3800</v>
      </c>
      <c r="AC26" s="58">
        <f t="shared" si="225"/>
        <v>3040</v>
      </c>
      <c r="AD26" s="58">
        <f t="shared" si="226"/>
        <v>2432</v>
      </c>
      <c r="AE26" s="58">
        <f t="shared" si="227"/>
        <v>40</v>
      </c>
      <c r="AF26" s="58">
        <f t="shared" si="228"/>
        <v>2392</v>
      </c>
      <c r="AG26" s="30"/>
      <c r="AH26" s="58">
        <f t="shared" si="14"/>
        <v>1520</v>
      </c>
      <c r="AI26" s="51">
        <f>206.7*8</f>
        <v>1653.6</v>
      </c>
      <c r="AJ26" s="51">
        <f>366.8*8</f>
        <v>2934.4</v>
      </c>
      <c r="AK26" s="58">
        <f t="shared" si="231"/>
        <v>6108</v>
      </c>
      <c r="AL26" s="51">
        <f>1401.4*8</f>
        <v>11211.2</v>
      </c>
      <c r="AM26" s="59">
        <f t="shared" si="233"/>
        <v>0.54481233052661615</v>
      </c>
      <c r="AN26" s="3"/>
      <c r="AO26" s="50">
        <v>200</v>
      </c>
      <c r="AP26" s="60">
        <v>200</v>
      </c>
      <c r="AQ26" s="55">
        <f t="shared" si="234"/>
        <v>400</v>
      </c>
      <c r="AR26" s="3"/>
      <c r="AS26" s="55">
        <v>8</v>
      </c>
      <c r="AT26" s="3"/>
      <c r="AU26" s="58">
        <v>47</v>
      </c>
      <c r="AV26" s="58">
        <v>152</v>
      </c>
      <c r="AW26" s="58">
        <v>190</v>
      </c>
      <c r="AX26" s="62">
        <f t="shared" si="235"/>
        <v>51.744680851063826</v>
      </c>
      <c r="AY26" s="62">
        <f t="shared" si="236"/>
        <v>16</v>
      </c>
      <c r="AZ26" s="62">
        <f t="shared" si="237"/>
        <v>22.495065789473685</v>
      </c>
      <c r="BA26" s="62">
        <f t="shared" si="238"/>
        <v>72.75</v>
      </c>
      <c r="BB26" s="3"/>
      <c r="BC26" s="63" t="s">
        <v>78</v>
      </c>
      <c r="BD26" s="58">
        <f t="shared" si="239"/>
        <v>1520</v>
      </c>
      <c r="BE26" s="58">
        <f t="shared" si="240"/>
        <v>2408</v>
      </c>
      <c r="BF26" s="58" t="e" vm="1">
        <f>'[1]4 - Flächen'!AJ26</f>
        <v>#VALUE!</v>
      </c>
      <c r="BG26" s="58" t="e" vm="2">
        <f t="shared" si="241"/>
        <v>#VALUE!</v>
      </c>
      <c r="BH26" s="58">
        <f t="shared" si="242"/>
        <v>760</v>
      </c>
      <c r="BI26" s="58" t="e" vm="2">
        <f t="shared" si="243"/>
        <v>#VALUE!</v>
      </c>
      <c r="BJ26" s="63">
        <f t="shared" si="244"/>
        <v>24</v>
      </c>
      <c r="BK26" s="64">
        <v>0.2</v>
      </c>
      <c r="BL26" s="58">
        <f t="shared" si="245"/>
        <v>486.40000000000003</v>
      </c>
      <c r="BM26" s="58">
        <f t="shared" si="246"/>
        <v>601.6</v>
      </c>
      <c r="BN26" s="58">
        <f t="shared" si="247"/>
        <v>1424</v>
      </c>
      <c r="BO26" s="58">
        <f t="shared" si="248"/>
        <v>96</v>
      </c>
      <c r="BP26" s="58" cm="1">
        <f t="array" ref="BP26">BE26 - _xlfn.IFS(
    _xlfn.XOR(Y26 &lt; 2.5, Y26 = 2.5), 0.5 * AH26,
    _xlfn.XOR(Y26 &lt; 2.5, Y26 = 2.5) = FALSE, 0
)</f>
        <v>1648</v>
      </c>
      <c r="BQ26" s="58">
        <f t="shared" si="249"/>
        <v>12</v>
      </c>
      <c r="BR26" s="58" t="e" vm="1">
        <f>'[1]4 - Flächen'!AI26</f>
        <v>#VALUE!</v>
      </c>
      <c r="BS26" s="26"/>
      <c r="BT26" s="58">
        <f t="shared" si="250"/>
        <v>729.6</v>
      </c>
      <c r="BU26" s="58">
        <f t="shared" si="251"/>
        <v>14275.84</v>
      </c>
      <c r="BV26" s="58">
        <f t="shared" si="252"/>
        <v>912</v>
      </c>
      <c r="BW26" s="58">
        <f t="shared" si="253"/>
        <v>448</v>
      </c>
      <c r="BX26" s="58"/>
      <c r="BY26" s="58">
        <f t="shared" si="254"/>
        <v>0</v>
      </c>
      <c r="BZ26" s="3"/>
      <c r="CA26" s="65">
        <f t="shared" si="255"/>
        <v>30536.191999999999</v>
      </c>
      <c r="CB26" s="68">
        <v>15</v>
      </c>
      <c r="CC26" s="65">
        <f t="shared" si="256"/>
        <v>36495</v>
      </c>
      <c r="CD26" s="66">
        <f t="shared" si="257"/>
        <v>19.201712328767123</v>
      </c>
      <c r="CE26" s="67">
        <f t="shared" si="258"/>
        <v>0.19338045378000002</v>
      </c>
      <c r="CF26" s="65" t="e">
        <f t="shared" si="259"/>
        <v>#DIV/0!</v>
      </c>
      <c r="CG26" s="65">
        <f>0.4071167448*AC26</f>
        <v>1237.634904192</v>
      </c>
      <c r="CH26" s="68">
        <v>30</v>
      </c>
      <c r="CI26" s="65">
        <f t="shared" si="261"/>
        <v>72975</v>
      </c>
      <c r="CJ26" s="66">
        <f t="shared" si="262"/>
        <v>38.401712328767125</v>
      </c>
      <c r="CK26" s="67">
        <f t="shared" si="263"/>
        <v>0.20441575010999999</v>
      </c>
      <c r="CL26" s="65" t="e">
        <f t="shared" si="264"/>
        <v>#DIV/0!</v>
      </c>
      <c r="CM26" s="65">
        <f>0.4303489476*AC26</f>
        <v>1308.2608007039998</v>
      </c>
      <c r="CN26" s="68">
        <v>70</v>
      </c>
      <c r="CO26" s="65">
        <f t="shared" si="266"/>
        <v>170255</v>
      </c>
      <c r="CP26" s="66">
        <f t="shared" si="267"/>
        <v>89.601712328767121</v>
      </c>
      <c r="CQ26" s="67">
        <f t="shared" si="268"/>
        <v>0.26006305693749993</v>
      </c>
      <c r="CR26" s="65" t="e">
        <f t="shared" si="269"/>
        <v>#DIV/0!</v>
      </c>
      <c r="CS26" s="65">
        <f>0.5475011725*AC26</f>
        <v>1664.4035643999998</v>
      </c>
      <c r="CT26" s="69">
        <v>3.05</v>
      </c>
      <c r="CU26" s="3"/>
      <c r="CV26" s="65">
        <f t="shared" si="271"/>
        <v>30536.191999999999</v>
      </c>
      <c r="CW26" s="65">
        <v>15</v>
      </c>
      <c r="CX26" s="65">
        <f t="shared" si="272"/>
        <v>36495</v>
      </c>
      <c r="CY26" s="66">
        <f t="shared" si="273"/>
        <v>19.201712328767123</v>
      </c>
      <c r="CZ26" s="67">
        <f t="shared" si="274"/>
        <v>2.0202990355625001</v>
      </c>
      <c r="DA26" s="65" t="e">
        <f t="shared" si="275"/>
        <v>#DIV/0!</v>
      </c>
      <c r="DB26" s="65">
        <f>4.2532611275*AC26</f>
        <v>12929.913827599999</v>
      </c>
      <c r="DC26" s="68">
        <v>30</v>
      </c>
      <c r="DD26" s="65">
        <f t="shared" si="276"/>
        <v>72975</v>
      </c>
      <c r="DE26" s="66">
        <f t="shared" si="277"/>
        <v>38.401712328767125</v>
      </c>
      <c r="DF26" s="67">
        <f t="shared" si="278"/>
        <v>2.0437022065225001</v>
      </c>
      <c r="DG26" s="65" t="e">
        <f t="shared" si="279"/>
        <v>#DIV/0!</v>
      </c>
      <c r="DH26" s="65">
        <f>4.3025309611*AC26</f>
        <v>13079.694121744002</v>
      </c>
      <c r="DI26" s="68">
        <v>70</v>
      </c>
      <c r="DJ26" s="65">
        <f t="shared" si="280"/>
        <v>170255</v>
      </c>
      <c r="DK26" s="66">
        <f t="shared" si="281"/>
        <v>89.601712328767121</v>
      </c>
      <c r="DL26" s="67">
        <f t="shared" si="282"/>
        <v>2.1323305124425</v>
      </c>
      <c r="DM26" s="65" t="e">
        <f t="shared" si="283"/>
        <v>#DIV/0!</v>
      </c>
      <c r="DN26" s="65">
        <f>4.4891168683*AC26</f>
        <v>13646.915279632</v>
      </c>
      <c r="DO26" s="69">
        <v>3.9</v>
      </c>
      <c r="DP26" s="7"/>
      <c r="DQ26" s="65">
        <f t="shared" si="284"/>
        <v>30536.191999999999</v>
      </c>
      <c r="DR26" s="65">
        <v>15</v>
      </c>
      <c r="DS26" s="65">
        <f t="shared" si="285"/>
        <v>36495</v>
      </c>
      <c r="DT26" s="66">
        <f t="shared" si="286"/>
        <v>19.201712328767123</v>
      </c>
      <c r="DU26" s="67">
        <f t="shared" si="287"/>
        <v>0.13630369991024999</v>
      </c>
      <c r="DV26" s="65">
        <f t="shared" si="288"/>
        <v>21.335235920852359</v>
      </c>
      <c r="DW26" s="65">
        <f>0.5425022882*AC26</f>
        <v>1649.206956128</v>
      </c>
      <c r="DX26" s="68">
        <v>30</v>
      </c>
      <c r="DY26" s="65">
        <f t="shared" si="289"/>
        <v>72975</v>
      </c>
      <c r="DZ26" s="66">
        <f t="shared" si="290"/>
        <v>38.401712328767125</v>
      </c>
      <c r="EA26" s="67">
        <f t="shared" si="291"/>
        <v>0.13724654613750001</v>
      </c>
      <c r="EB26" s="65">
        <f t="shared" si="292"/>
        <v>42.668569254185691</v>
      </c>
      <c r="EC26" s="65">
        <f>0.54625491*AC26</f>
        <v>1660.6149264000001</v>
      </c>
      <c r="ED26" s="68">
        <v>70</v>
      </c>
      <c r="EE26" s="65">
        <f t="shared" si="293"/>
        <v>170255</v>
      </c>
      <c r="EF26" s="66">
        <f t="shared" si="294"/>
        <v>89.601712328767121</v>
      </c>
      <c r="EG26" s="67">
        <f t="shared" si="295"/>
        <v>0.15375543624412499</v>
      </c>
      <c r="EH26" s="65">
        <f t="shared" si="296"/>
        <v>99.55745814307457</v>
      </c>
      <c r="EI26" s="65">
        <f>0.6119619353*AC26</f>
        <v>1860.364283312</v>
      </c>
      <c r="EJ26" s="69">
        <v>3.9</v>
      </c>
    </row>
    <row r="27" spans="1:140">
      <c r="A27" s="48" t="str">
        <f t="shared" si="0"/>
        <v>DmKu</v>
      </c>
      <c r="B27" s="49">
        <v>14</v>
      </c>
      <c r="C27" s="48" t="s">
        <v>86</v>
      </c>
      <c r="D27" s="48" t="s">
        <v>81</v>
      </c>
      <c r="E27" s="48" t="s">
        <v>79</v>
      </c>
      <c r="F27" s="3"/>
      <c r="G27" s="50">
        <v>10000</v>
      </c>
      <c r="H27" s="51">
        <v>8500</v>
      </c>
      <c r="I27" s="51">
        <v>600</v>
      </c>
      <c r="J27" s="51">
        <v>560</v>
      </c>
      <c r="K27" s="51">
        <v>340</v>
      </c>
      <c r="L27" s="109">
        <f>190*7</f>
        <v>1330</v>
      </c>
      <c r="M27" s="52">
        <f t="shared" si="215"/>
        <v>210</v>
      </c>
      <c r="N27" s="53">
        <f t="shared" si="216"/>
        <v>0.154</v>
      </c>
      <c r="O27" s="177"/>
      <c r="P27" s="178"/>
      <c r="Q27" s="52">
        <f t="shared" si="217"/>
        <v>665</v>
      </c>
      <c r="R27" s="52">
        <f t="shared" si="218"/>
        <v>532</v>
      </c>
      <c r="S27" s="52">
        <f t="shared" si="4"/>
        <v>1995</v>
      </c>
      <c r="T27" s="3"/>
      <c r="U27" s="58">
        <f t="shared" si="219"/>
        <v>1540</v>
      </c>
      <c r="V27" s="56">
        <f t="shared" si="220"/>
        <v>0.154</v>
      </c>
      <c r="W27" s="110">
        <f t="shared" si="221"/>
        <v>0.28699999999999998</v>
      </c>
      <c r="X27" s="32"/>
      <c r="Y27" s="57">
        <v>2</v>
      </c>
      <c r="Z27" s="58">
        <f t="shared" si="222"/>
        <v>2870</v>
      </c>
      <c r="AA27" s="58">
        <f t="shared" si="223"/>
        <v>2296</v>
      </c>
      <c r="AB27" s="58">
        <f t="shared" si="224"/>
        <v>3325</v>
      </c>
      <c r="AC27" s="58">
        <f t="shared" si="225"/>
        <v>2660</v>
      </c>
      <c r="AD27" s="58">
        <f t="shared" si="226"/>
        <v>2128</v>
      </c>
      <c r="AE27" s="58">
        <f t="shared" si="227"/>
        <v>35</v>
      </c>
      <c r="AF27" s="58">
        <f t="shared" si="228"/>
        <v>2093</v>
      </c>
      <c r="AG27" s="30"/>
      <c r="AH27" s="58">
        <f t="shared" si="14"/>
        <v>1330</v>
      </c>
      <c r="AI27" s="51">
        <f>206.7*7</f>
        <v>1446.8999999999999</v>
      </c>
      <c r="AJ27" s="51">
        <f>366.8*7</f>
        <v>2567.6</v>
      </c>
      <c r="AK27" s="58">
        <f t="shared" si="231"/>
        <v>5344.5</v>
      </c>
      <c r="AL27" s="51">
        <f>1401.4*7</f>
        <v>9809.8000000000011</v>
      </c>
      <c r="AM27" s="59">
        <f t="shared" si="233"/>
        <v>0.54481233052661615</v>
      </c>
      <c r="AN27" s="3"/>
      <c r="AO27" s="50">
        <v>100</v>
      </c>
      <c r="AP27" s="60">
        <v>175</v>
      </c>
      <c r="AQ27" s="55">
        <f t="shared" si="234"/>
        <v>275</v>
      </c>
      <c r="AR27" s="3"/>
      <c r="AS27" s="55">
        <v>7</v>
      </c>
      <c r="AT27" s="3"/>
      <c r="AU27" s="58">
        <v>47</v>
      </c>
      <c r="AV27" s="58">
        <v>152</v>
      </c>
      <c r="AW27" s="58">
        <v>190</v>
      </c>
      <c r="AX27" s="62">
        <f t="shared" si="235"/>
        <v>45.276595744680854</v>
      </c>
      <c r="AY27" s="62">
        <f t="shared" si="236"/>
        <v>14</v>
      </c>
      <c r="AZ27" s="62">
        <f t="shared" si="237"/>
        <v>13.25187969924812</v>
      </c>
      <c r="BA27" s="62">
        <f t="shared" si="238"/>
        <v>42.857142857142854</v>
      </c>
      <c r="BB27" s="3"/>
      <c r="BC27" s="63" t="s">
        <v>78</v>
      </c>
      <c r="BD27" s="58">
        <f t="shared" si="239"/>
        <v>1330</v>
      </c>
      <c r="BE27" s="58">
        <f t="shared" si="240"/>
        <v>2107</v>
      </c>
      <c r="BF27" s="58" t="e" vm="1">
        <f>'[1]4 - Flächen'!AJ27</f>
        <v>#VALUE!</v>
      </c>
      <c r="BG27" s="58" t="e" vm="2">
        <f t="shared" si="241"/>
        <v>#VALUE!</v>
      </c>
      <c r="BH27" s="58">
        <f t="shared" si="242"/>
        <v>665</v>
      </c>
      <c r="BI27" s="58" t="e" vm="2">
        <f t="shared" si="243"/>
        <v>#VALUE!</v>
      </c>
      <c r="BJ27" s="63">
        <f t="shared" si="244"/>
        <v>21</v>
      </c>
      <c r="BK27" s="64">
        <v>0.2</v>
      </c>
      <c r="BL27" s="58">
        <f t="shared" si="245"/>
        <v>425.6</v>
      </c>
      <c r="BM27" s="58">
        <f t="shared" si="246"/>
        <v>526.4</v>
      </c>
      <c r="BN27" s="58">
        <f t="shared" si="247"/>
        <v>1246</v>
      </c>
      <c r="BO27" s="58">
        <f t="shared" si="248"/>
        <v>84</v>
      </c>
      <c r="BP27" s="58" cm="1">
        <f t="array" ref="BP27">BE27 - _xlfn.IFS(
    _xlfn.XOR(Y27 &lt; 2.5, Y27 = 2.5), 0.5 * AH27,
    _xlfn.XOR(Y27 &lt; 2.5, Y27 = 2.5) = FALSE, 0
)</f>
        <v>1442</v>
      </c>
      <c r="BQ27" s="58">
        <f t="shared" si="249"/>
        <v>10.5</v>
      </c>
      <c r="BR27" s="58" t="e" vm="1">
        <f>'[1]4 - Flächen'!AI27</f>
        <v>#VALUE!</v>
      </c>
      <c r="BS27" s="26"/>
      <c r="BT27" s="58">
        <f t="shared" si="250"/>
        <v>638.4</v>
      </c>
      <c r="BU27" s="58">
        <f t="shared" si="251"/>
        <v>12491.36</v>
      </c>
      <c r="BV27" s="58">
        <f t="shared" si="252"/>
        <v>798</v>
      </c>
      <c r="BW27" s="58">
        <f t="shared" si="253"/>
        <v>392</v>
      </c>
      <c r="BX27" s="58"/>
      <c r="BY27" s="58">
        <f t="shared" si="254"/>
        <v>0</v>
      </c>
      <c r="BZ27" s="3"/>
      <c r="CA27" s="65">
        <f t="shared" si="255"/>
        <v>26719.168000000001</v>
      </c>
      <c r="CB27" s="68">
        <v>15</v>
      </c>
      <c r="CC27" s="65">
        <f t="shared" si="256"/>
        <v>31935</v>
      </c>
      <c r="CD27" s="66">
        <f t="shared" si="257"/>
        <v>16.801712328767124</v>
      </c>
      <c r="CE27" s="67">
        <f t="shared" si="258"/>
        <v>0.19338781067499999</v>
      </c>
      <c r="CF27" s="65" t="e">
        <f t="shared" si="259"/>
        <v>#DIV/0!</v>
      </c>
      <c r="CG27" s="65">
        <f>0.407132233*AC27</f>
        <v>1082.97173978</v>
      </c>
      <c r="CH27" s="68">
        <v>30</v>
      </c>
      <c r="CI27" s="65">
        <f t="shared" si="261"/>
        <v>63855</v>
      </c>
      <c r="CJ27" s="66">
        <f t="shared" si="262"/>
        <v>33.601712328767128</v>
      </c>
      <c r="CK27" s="67">
        <f t="shared" si="263"/>
        <v>0.20442678545249998</v>
      </c>
      <c r="CL27" s="65" t="e">
        <f t="shared" si="264"/>
        <v>#DIV/0!</v>
      </c>
      <c r="CM27" s="65">
        <f>0.4303721799*AC27</f>
        <v>1144.789998534</v>
      </c>
      <c r="CN27" s="68">
        <v>70</v>
      </c>
      <c r="CO27" s="65">
        <f t="shared" si="266"/>
        <v>148975</v>
      </c>
      <c r="CP27" s="66">
        <f t="shared" si="267"/>
        <v>78.401712328767132</v>
      </c>
      <c r="CQ27" s="67">
        <f t="shared" si="268"/>
        <v>0.2600740922325</v>
      </c>
      <c r="CR27" s="65" t="e">
        <f t="shared" si="269"/>
        <v>#DIV/0!</v>
      </c>
      <c r="CS27" s="65">
        <f>0.5475244047*AC27</f>
        <v>1456.4149165019999</v>
      </c>
      <c r="CT27" s="69">
        <v>3.05</v>
      </c>
      <c r="CU27" s="3"/>
      <c r="CV27" s="65">
        <f t="shared" si="271"/>
        <v>26719.168000000001</v>
      </c>
      <c r="CW27" s="65">
        <v>15</v>
      </c>
      <c r="CX27" s="65">
        <f t="shared" si="272"/>
        <v>31935</v>
      </c>
      <c r="CY27" s="66">
        <f t="shared" si="273"/>
        <v>16.801712328767124</v>
      </c>
      <c r="CZ27" s="67">
        <f t="shared" si="274"/>
        <v>1.9800065052525004</v>
      </c>
      <c r="DA27" s="65" t="e">
        <f t="shared" si="275"/>
        <v>#DIV/0!</v>
      </c>
      <c r="DB27" s="65">
        <f>4.1684347479*AC27</f>
        <v>11088.036429414</v>
      </c>
      <c r="DC27" s="68">
        <v>30</v>
      </c>
      <c r="DD27" s="65">
        <f t="shared" si="276"/>
        <v>63855</v>
      </c>
      <c r="DE27" s="66">
        <f t="shared" si="277"/>
        <v>33.601712328767128</v>
      </c>
      <c r="DF27" s="67">
        <f t="shared" si="278"/>
        <v>2.0034096762599996</v>
      </c>
      <c r="DG27" s="65" t="e">
        <f t="shared" si="279"/>
        <v>#DIV/0!</v>
      </c>
      <c r="DH27" s="65">
        <f>4.2177045816*AC27</f>
        <v>11219.094187055998</v>
      </c>
      <c r="DI27" s="68">
        <v>70</v>
      </c>
      <c r="DJ27" s="65">
        <f t="shared" si="280"/>
        <v>148975</v>
      </c>
      <c r="DK27" s="66">
        <f t="shared" si="281"/>
        <v>78.401712328767132</v>
      </c>
      <c r="DL27" s="67">
        <f t="shared" si="282"/>
        <v>2.0920379821799999</v>
      </c>
      <c r="DM27" s="65" t="e">
        <f t="shared" si="283"/>
        <v>#DIV/0!</v>
      </c>
      <c r="DN27" s="65">
        <f>4.4042904888*AC27</f>
        <v>11715.412700208</v>
      </c>
      <c r="DO27" s="69">
        <v>3.9</v>
      </c>
      <c r="DP27" s="7"/>
      <c r="DQ27" s="65">
        <f t="shared" si="284"/>
        <v>26719.168000000001</v>
      </c>
      <c r="DR27" s="65">
        <v>15</v>
      </c>
      <c r="DS27" s="65">
        <f t="shared" si="285"/>
        <v>31935</v>
      </c>
      <c r="DT27" s="66">
        <f t="shared" si="286"/>
        <v>16.801712328767124</v>
      </c>
      <c r="DU27" s="67">
        <f t="shared" si="287"/>
        <v>0.13513635911962502</v>
      </c>
      <c r="DV27" s="65">
        <f t="shared" si="288"/>
        <v>18.668569254185694</v>
      </c>
      <c r="DW27" s="65">
        <f>0.5378561557*AC27</f>
        <v>1430.697374162</v>
      </c>
      <c r="DX27" s="68">
        <v>30</v>
      </c>
      <c r="DY27" s="65">
        <f t="shared" si="289"/>
        <v>63855</v>
      </c>
      <c r="DZ27" s="66">
        <f t="shared" si="290"/>
        <v>33.601712328767128</v>
      </c>
      <c r="EA27" s="67">
        <f t="shared" si="291"/>
        <v>0.13607920537200002</v>
      </c>
      <c r="EB27" s="65">
        <f t="shared" si="292"/>
        <v>37.335235920852362</v>
      </c>
      <c r="EC27" s="65">
        <f>0.5416087776*AC27</f>
        <v>1440.679348416</v>
      </c>
      <c r="ED27" s="68">
        <v>70</v>
      </c>
      <c r="EE27" s="65">
        <f t="shared" si="293"/>
        <v>148975</v>
      </c>
      <c r="EF27" s="66">
        <f t="shared" si="294"/>
        <v>78.401712328767132</v>
      </c>
      <c r="EG27" s="67">
        <f t="shared" si="295"/>
        <v>0.15258809547862498</v>
      </c>
      <c r="EH27" s="65">
        <f t="shared" si="296"/>
        <v>87.113013698630141</v>
      </c>
      <c r="EI27" s="65">
        <f>0.6073158029*AC27</f>
        <v>1615.460035714</v>
      </c>
      <c r="EJ27" s="69">
        <v>3.9</v>
      </c>
    </row>
    <row r="28" spans="1:140">
      <c r="A28" s="48" t="str">
        <f t="shared" si="0"/>
        <v>DmWe</v>
      </c>
      <c r="B28" s="49">
        <v>15</v>
      </c>
      <c r="C28" s="48" t="s">
        <v>86</v>
      </c>
      <c r="D28" s="48" t="s">
        <v>81</v>
      </c>
      <c r="E28" s="48" t="s">
        <v>80</v>
      </c>
      <c r="F28" s="3"/>
      <c r="G28" s="50">
        <v>10000</v>
      </c>
      <c r="H28" s="51">
        <v>8493</v>
      </c>
      <c r="I28" s="51">
        <v>764</v>
      </c>
      <c r="J28" s="51">
        <v>423</v>
      </c>
      <c r="K28" s="51">
        <v>320</v>
      </c>
      <c r="L28" s="109">
        <f>190*5</f>
        <v>950</v>
      </c>
      <c r="M28" s="52">
        <f t="shared" si="215"/>
        <v>150</v>
      </c>
      <c r="N28" s="53">
        <f t="shared" si="216"/>
        <v>0.11</v>
      </c>
      <c r="O28" s="179"/>
      <c r="P28" s="180"/>
      <c r="Q28" s="52">
        <f t="shared" si="217"/>
        <v>475</v>
      </c>
      <c r="R28" s="52">
        <f t="shared" si="218"/>
        <v>380</v>
      </c>
      <c r="S28" s="52">
        <f t="shared" si="4"/>
        <v>1425</v>
      </c>
      <c r="T28" s="3"/>
      <c r="U28" s="58">
        <f t="shared" si="219"/>
        <v>1100</v>
      </c>
      <c r="V28" s="56">
        <f t="shared" si="220"/>
        <v>0.11</v>
      </c>
      <c r="W28" s="110">
        <f t="shared" si="221"/>
        <v>0.20499999999999999</v>
      </c>
      <c r="X28" s="32"/>
      <c r="Y28" s="57">
        <v>2</v>
      </c>
      <c r="Z28" s="58">
        <f t="shared" si="222"/>
        <v>2050</v>
      </c>
      <c r="AA28" s="58">
        <f t="shared" si="223"/>
        <v>1640</v>
      </c>
      <c r="AB28" s="58">
        <f t="shared" si="224"/>
        <v>2375</v>
      </c>
      <c r="AC28" s="58">
        <f t="shared" si="225"/>
        <v>1900</v>
      </c>
      <c r="AD28" s="58">
        <f t="shared" si="226"/>
        <v>1520</v>
      </c>
      <c r="AE28" s="58">
        <f t="shared" si="227"/>
        <v>25</v>
      </c>
      <c r="AF28" s="58">
        <f t="shared" si="228"/>
        <v>1495</v>
      </c>
      <c r="AG28" s="30"/>
      <c r="AH28" s="58">
        <f t="shared" si="14"/>
        <v>950</v>
      </c>
      <c r="AI28" s="51">
        <f>206.7*5</f>
        <v>1033.5</v>
      </c>
      <c r="AJ28" s="51">
        <f>366.8*5</f>
        <v>1834</v>
      </c>
      <c r="AK28" s="58">
        <f t="shared" si="231"/>
        <v>3817.5</v>
      </c>
      <c r="AL28" s="51">
        <f>1401.4*5</f>
        <v>7007</v>
      </c>
      <c r="AM28" s="59">
        <f t="shared" si="233"/>
        <v>0.54481233052661626</v>
      </c>
      <c r="AN28" s="3"/>
      <c r="AO28" s="50">
        <v>90</v>
      </c>
      <c r="AP28" s="60">
        <v>125</v>
      </c>
      <c r="AQ28" s="55">
        <f t="shared" si="234"/>
        <v>215</v>
      </c>
      <c r="AR28" s="3"/>
      <c r="AS28" s="55">
        <v>5</v>
      </c>
      <c r="AT28" s="3"/>
      <c r="AU28" s="58">
        <v>47</v>
      </c>
      <c r="AV28" s="58">
        <v>152</v>
      </c>
      <c r="AW28" s="58">
        <v>190</v>
      </c>
      <c r="AX28" s="62">
        <f t="shared" si="235"/>
        <v>32.340425531914896</v>
      </c>
      <c r="AY28" s="62">
        <f t="shared" si="236"/>
        <v>10</v>
      </c>
      <c r="AZ28" s="62">
        <f t="shared" si="237"/>
        <v>23.623684210526314</v>
      </c>
      <c r="BA28" s="62">
        <f t="shared" si="238"/>
        <v>76.400000000000006</v>
      </c>
      <c r="BB28" s="3"/>
      <c r="BC28" s="63" t="s">
        <v>78</v>
      </c>
      <c r="BD28" s="58">
        <f t="shared" si="239"/>
        <v>950</v>
      </c>
      <c r="BE28" s="58">
        <f t="shared" si="240"/>
        <v>1505</v>
      </c>
      <c r="BF28" s="58" t="e" vm="1">
        <f>'[1]4 - Flächen'!AJ28</f>
        <v>#VALUE!</v>
      </c>
      <c r="BG28" s="58" t="e" vm="2">
        <f t="shared" si="241"/>
        <v>#VALUE!</v>
      </c>
      <c r="BH28" s="58">
        <f t="shared" si="242"/>
        <v>475</v>
      </c>
      <c r="BI28" s="58" t="e" vm="2">
        <f t="shared" si="243"/>
        <v>#VALUE!</v>
      </c>
      <c r="BJ28" s="63">
        <f t="shared" si="244"/>
        <v>15</v>
      </c>
      <c r="BK28" s="64">
        <v>0.2</v>
      </c>
      <c r="BL28" s="58">
        <f t="shared" si="245"/>
        <v>304</v>
      </c>
      <c r="BM28" s="58">
        <f t="shared" si="246"/>
        <v>376</v>
      </c>
      <c r="BN28" s="58">
        <f t="shared" si="247"/>
        <v>890</v>
      </c>
      <c r="BO28" s="58">
        <f t="shared" si="248"/>
        <v>60</v>
      </c>
      <c r="BP28" s="58" cm="1">
        <f t="array" ref="BP28">BE28 - _xlfn.IFS(
    _xlfn.XOR(Y28 &lt; 2.5, Y28 = 2.5), 0.5 * AH28,
    _xlfn.XOR(Y28 &lt; 2.5, Y28 = 2.5) = FALSE, 0
)</f>
        <v>1030</v>
      </c>
      <c r="BQ28" s="58">
        <f t="shared" si="249"/>
        <v>7.5</v>
      </c>
      <c r="BR28" s="58" t="e" vm="1">
        <f>'[1]4 - Flächen'!AI28</f>
        <v>#VALUE!</v>
      </c>
      <c r="BS28" s="26"/>
      <c r="BT28" s="58">
        <f t="shared" si="250"/>
        <v>456</v>
      </c>
      <c r="BU28" s="58">
        <f t="shared" si="251"/>
        <v>8922.4</v>
      </c>
      <c r="BV28" s="58">
        <f t="shared" si="252"/>
        <v>570</v>
      </c>
      <c r="BW28" s="58">
        <f t="shared" si="253"/>
        <v>280</v>
      </c>
      <c r="BX28" s="58"/>
      <c r="BY28" s="58">
        <f t="shared" si="254"/>
        <v>0</v>
      </c>
      <c r="BZ28" s="3"/>
      <c r="CA28" s="65">
        <f t="shared" si="255"/>
        <v>19085.12</v>
      </c>
      <c r="CB28" s="68">
        <v>15</v>
      </c>
      <c r="CC28" s="65">
        <f t="shared" si="256"/>
        <v>22815</v>
      </c>
      <c r="CD28" s="66">
        <f t="shared" si="257"/>
        <v>12.001712328767123</v>
      </c>
      <c r="CE28" s="67">
        <f t="shared" si="258"/>
        <v>0.19338045377999996</v>
      </c>
      <c r="CF28" s="65" t="e">
        <f t="shared" si="259"/>
        <v>#DIV/0!</v>
      </c>
      <c r="CG28" s="65">
        <f>0.4071167448*AC28</f>
        <v>773.52181511999993</v>
      </c>
      <c r="CH28" s="68">
        <v>30</v>
      </c>
      <c r="CI28" s="65">
        <f t="shared" si="261"/>
        <v>45615</v>
      </c>
      <c r="CJ28" s="66">
        <f t="shared" si="262"/>
        <v>24.001712328767123</v>
      </c>
      <c r="CK28" s="67">
        <f t="shared" si="263"/>
        <v>0.20441575010999996</v>
      </c>
      <c r="CL28" s="65" t="e">
        <f t="shared" si="264"/>
        <v>#DIV/0!</v>
      </c>
      <c r="CM28" s="65">
        <f>0.4303489476*AC28</f>
        <v>817.66300043999991</v>
      </c>
      <c r="CN28" s="68">
        <v>70</v>
      </c>
      <c r="CO28" s="65">
        <f t="shared" si="266"/>
        <v>106415</v>
      </c>
      <c r="CP28" s="66">
        <f t="shared" si="267"/>
        <v>56.001712328767127</v>
      </c>
      <c r="CQ28" s="67">
        <f t="shared" si="268"/>
        <v>0.26006305693749998</v>
      </c>
      <c r="CR28" s="65" t="e">
        <f t="shared" si="269"/>
        <v>#DIV/0!</v>
      </c>
      <c r="CS28" s="65">
        <f>0.5475011725*AC28</f>
        <v>1040.25222775</v>
      </c>
      <c r="CT28" s="69">
        <v>3.05</v>
      </c>
      <c r="CU28" s="3"/>
      <c r="CV28" s="65">
        <f t="shared" si="271"/>
        <v>19085.12</v>
      </c>
      <c r="CW28" s="65">
        <v>15</v>
      </c>
      <c r="CX28" s="65">
        <f t="shared" si="272"/>
        <v>22815</v>
      </c>
      <c r="CY28" s="66">
        <f t="shared" si="273"/>
        <v>12.001712328767123</v>
      </c>
      <c r="CZ28" s="67">
        <f t="shared" si="274"/>
        <v>1.9939746003999999</v>
      </c>
      <c r="DA28" s="65" t="e">
        <f t="shared" si="275"/>
        <v>#DIV/0!</v>
      </c>
      <c r="DB28" s="65">
        <f>4.197841264*AC28</f>
        <v>7975.8984016000004</v>
      </c>
      <c r="DC28" s="68">
        <v>30</v>
      </c>
      <c r="DD28" s="65">
        <f t="shared" si="276"/>
        <v>45615</v>
      </c>
      <c r="DE28" s="66">
        <f t="shared" si="277"/>
        <v>24.001712328767123</v>
      </c>
      <c r="DF28" s="67">
        <f t="shared" si="278"/>
        <v>2.0173777714075003</v>
      </c>
      <c r="DG28" s="65" t="e">
        <f t="shared" si="279"/>
        <v>#DIV/0!</v>
      </c>
      <c r="DH28" s="65">
        <f>4.2471110977*AC28</f>
        <v>8069.5110856300007</v>
      </c>
      <c r="DI28" s="68">
        <v>70</v>
      </c>
      <c r="DJ28" s="65">
        <f t="shared" si="280"/>
        <v>106415</v>
      </c>
      <c r="DK28" s="66">
        <f t="shared" si="281"/>
        <v>56.001712328767127</v>
      </c>
      <c r="DL28" s="67">
        <f t="shared" si="282"/>
        <v>2.1060060773274998</v>
      </c>
      <c r="DM28" s="65" t="e">
        <f t="shared" si="283"/>
        <v>#DIV/0!</v>
      </c>
      <c r="DN28" s="65">
        <f>4.4336970049*AC28</f>
        <v>8424.0243093099998</v>
      </c>
      <c r="DO28" s="69">
        <v>3.9</v>
      </c>
      <c r="DP28" s="7"/>
      <c r="DQ28" s="65">
        <f t="shared" si="284"/>
        <v>19085.12</v>
      </c>
      <c r="DR28" s="65">
        <v>15</v>
      </c>
      <c r="DS28" s="65">
        <f t="shared" si="285"/>
        <v>22815</v>
      </c>
      <c r="DT28" s="66">
        <f t="shared" si="286"/>
        <v>12.001712328767123</v>
      </c>
      <c r="DU28" s="67">
        <f t="shared" si="287"/>
        <v>0.13554103789687499</v>
      </c>
      <c r="DV28" s="65">
        <f t="shared" si="288"/>
        <v>13.335235920852359</v>
      </c>
      <c r="DW28" s="65">
        <f>0.5394668175*AC28</f>
        <v>1024.9869532499999</v>
      </c>
      <c r="DX28" s="68">
        <v>30</v>
      </c>
      <c r="DY28" s="65">
        <f t="shared" si="289"/>
        <v>45615</v>
      </c>
      <c r="DZ28" s="66">
        <f t="shared" si="290"/>
        <v>24.001712328767123</v>
      </c>
      <c r="EA28" s="67">
        <f t="shared" si="291"/>
        <v>0.13648388412412502</v>
      </c>
      <c r="EB28" s="65">
        <f t="shared" si="292"/>
        <v>26.668569254185691</v>
      </c>
      <c r="EC28" s="65">
        <f>0.5432194393*AC28</f>
        <v>1032.1169346700001</v>
      </c>
      <c r="ED28" s="68">
        <v>70</v>
      </c>
      <c r="EE28" s="65">
        <f t="shared" si="293"/>
        <v>106415</v>
      </c>
      <c r="EF28" s="66">
        <f t="shared" si="294"/>
        <v>56.001712328767127</v>
      </c>
      <c r="EG28" s="67">
        <f t="shared" si="295"/>
        <v>0.15299277423074997</v>
      </c>
      <c r="EH28" s="65">
        <f t="shared" si="296"/>
        <v>62.224124809741248</v>
      </c>
      <c r="EI28" s="65">
        <f>0.6089264646*AC28</f>
        <v>1156.9602827399999</v>
      </c>
      <c r="EJ28" s="69">
        <v>3.9</v>
      </c>
    </row>
    <row r="29" spans="1:140">
      <c r="A29" s="70" t="str">
        <f t="shared" si="0"/>
        <v>DhKr</v>
      </c>
      <c r="B29" s="71">
        <v>16</v>
      </c>
      <c r="C29" s="70" t="s">
        <v>86</v>
      </c>
      <c r="D29" s="70" t="s">
        <v>82</v>
      </c>
      <c r="E29" s="70" t="s">
        <v>77</v>
      </c>
      <c r="F29" s="3"/>
      <c r="G29" s="72">
        <v>10000</v>
      </c>
      <c r="H29" s="73">
        <v>7225</v>
      </c>
      <c r="I29" s="73">
        <v>1164</v>
      </c>
      <c r="J29" s="73">
        <v>931</v>
      </c>
      <c r="K29" s="73">
        <v>680</v>
      </c>
      <c r="L29" s="73">
        <f>190*10</f>
        <v>1900</v>
      </c>
      <c r="M29" s="72">
        <f t="shared" si="215"/>
        <v>300</v>
      </c>
      <c r="N29" s="75">
        <f t="shared" si="216"/>
        <v>0.22</v>
      </c>
      <c r="O29" s="76"/>
      <c r="P29" s="181"/>
      <c r="Q29" s="72">
        <f t="shared" si="217"/>
        <v>950</v>
      </c>
      <c r="R29" s="72">
        <f t="shared" si="218"/>
        <v>760</v>
      </c>
      <c r="S29" s="72">
        <f t="shared" si="4"/>
        <v>2850</v>
      </c>
      <c r="T29" s="3"/>
      <c r="U29" s="77">
        <f t="shared" si="219"/>
        <v>2200</v>
      </c>
      <c r="V29" s="78">
        <f t="shared" si="220"/>
        <v>0.22</v>
      </c>
      <c r="W29" s="111">
        <f t="shared" si="221"/>
        <v>0.505</v>
      </c>
      <c r="X29" s="32"/>
      <c r="Y29" s="79">
        <v>2.5</v>
      </c>
      <c r="Z29" s="77">
        <f t="shared" si="222"/>
        <v>5050</v>
      </c>
      <c r="AA29" s="77">
        <f t="shared" si="223"/>
        <v>4040</v>
      </c>
      <c r="AB29" s="77">
        <f t="shared" si="224"/>
        <v>5700</v>
      </c>
      <c r="AC29" s="77">
        <f t="shared" si="225"/>
        <v>4560</v>
      </c>
      <c r="AD29" s="77">
        <f t="shared" si="226"/>
        <v>3800</v>
      </c>
      <c r="AE29" s="77">
        <f t="shared" si="227"/>
        <v>50</v>
      </c>
      <c r="AF29" s="77">
        <f t="shared" si="228"/>
        <v>3750</v>
      </c>
      <c r="AG29" s="30"/>
      <c r="AH29" s="77">
        <f t="shared" si="14"/>
        <v>1900</v>
      </c>
      <c r="AI29" s="73">
        <f>246.8*10</f>
        <v>2468</v>
      </c>
      <c r="AJ29" s="77">
        <f>392.2*10</f>
        <v>3922</v>
      </c>
      <c r="AK29" s="77">
        <f t="shared" si="231"/>
        <v>8290</v>
      </c>
      <c r="AL29" s="77">
        <f>1632.5*10</f>
        <v>16325</v>
      </c>
      <c r="AM29" s="80">
        <f t="shared" si="233"/>
        <v>0.50781010719754982</v>
      </c>
      <c r="AN29" s="3"/>
      <c r="AO29" s="72">
        <v>200</v>
      </c>
      <c r="AP29" s="81">
        <f>12.5*10</f>
        <v>125</v>
      </c>
      <c r="AQ29" s="82">
        <f t="shared" si="234"/>
        <v>325</v>
      </c>
      <c r="AR29" s="3"/>
      <c r="AS29" s="82">
        <v>10</v>
      </c>
      <c r="AT29" s="3"/>
      <c r="AU29" s="77">
        <v>47</v>
      </c>
      <c r="AV29" s="77">
        <v>152</v>
      </c>
      <c r="AW29" s="77">
        <v>190</v>
      </c>
      <c r="AX29" s="83">
        <f t="shared" si="235"/>
        <v>80.851063829787236</v>
      </c>
      <c r="AY29" s="83">
        <f t="shared" si="236"/>
        <v>20</v>
      </c>
      <c r="AZ29" s="83">
        <f t="shared" si="237"/>
        <v>14.396842105263158</v>
      </c>
      <c r="BA29" s="83">
        <f t="shared" si="238"/>
        <v>58.2</v>
      </c>
      <c r="BB29" s="3"/>
      <c r="BC29" s="84" t="s">
        <v>78</v>
      </c>
      <c r="BD29" s="77">
        <f t="shared" si="239"/>
        <v>1900</v>
      </c>
      <c r="BE29" s="77">
        <f t="shared" si="240"/>
        <v>3760</v>
      </c>
      <c r="BF29" s="77" t="e" vm="1">
        <f>'[1]4 - Flächen'!AJ29</f>
        <v>#VALUE!</v>
      </c>
      <c r="BG29" s="77" t="e" vm="2">
        <f t="shared" si="241"/>
        <v>#VALUE!</v>
      </c>
      <c r="BH29" s="77">
        <f t="shared" si="242"/>
        <v>950</v>
      </c>
      <c r="BI29" s="77" t="e" vm="2">
        <f t="shared" si="243"/>
        <v>#VALUE!</v>
      </c>
      <c r="BJ29" s="84">
        <f t="shared" si="244"/>
        <v>30</v>
      </c>
      <c r="BK29" s="85">
        <v>0.2</v>
      </c>
      <c r="BL29" s="77">
        <f t="shared" si="245"/>
        <v>760</v>
      </c>
      <c r="BM29" s="77">
        <f t="shared" si="246"/>
        <v>752</v>
      </c>
      <c r="BN29" s="77">
        <f t="shared" si="247"/>
        <v>1780</v>
      </c>
      <c r="BO29" s="77">
        <f t="shared" si="248"/>
        <v>120</v>
      </c>
      <c r="BP29" s="77" cm="1">
        <f t="array" ref="BP29">BE29 - _xlfn.IFS(
    _xlfn.XOR(Y29 &lt; 2.5, Y29 = 2.5), 0.5 * AH29,
    _xlfn.XOR(Y29 &lt; 2.5, Y29 = 2.5) = FALSE, 0
)</f>
        <v>2810</v>
      </c>
      <c r="BQ29" s="77">
        <f t="shared" si="249"/>
        <v>20</v>
      </c>
      <c r="BR29" s="77" t="e" vm="1">
        <f>'[1]4 - Flächen'!AI29</f>
        <v>#VALUE!</v>
      </c>
      <c r="BS29" s="26"/>
      <c r="BT29" s="77">
        <f t="shared" si="250"/>
        <v>1140</v>
      </c>
      <c r="BU29" s="77">
        <f t="shared" si="251"/>
        <v>22306</v>
      </c>
      <c r="BV29" s="77">
        <f t="shared" si="252"/>
        <v>1140</v>
      </c>
      <c r="BW29" s="77">
        <f t="shared" si="253"/>
        <v>560</v>
      </c>
      <c r="BX29" s="58"/>
      <c r="BY29" s="58">
        <f t="shared" si="254"/>
        <v>0</v>
      </c>
      <c r="BZ29" s="3"/>
      <c r="CA29" s="86">
        <f t="shared" si="255"/>
        <v>47712.800000000003</v>
      </c>
      <c r="CB29" s="89">
        <v>15</v>
      </c>
      <c r="CC29" s="86">
        <f t="shared" si="256"/>
        <v>57015</v>
      </c>
      <c r="CD29" s="87">
        <f t="shared" si="257"/>
        <v>30.001712328767123</v>
      </c>
      <c r="CE29" s="88">
        <f t="shared" si="258"/>
        <v>0.17799015236400001</v>
      </c>
      <c r="CF29" s="86" t="e">
        <f t="shared" si="259"/>
        <v>#DIV/0!</v>
      </c>
      <c r="CG29" s="86">
        <f t="shared" ref="CG29:CG31" si="297">0.3903292815*AC29</f>
        <v>1779.9015236400001</v>
      </c>
      <c r="CH29" s="89">
        <v>30</v>
      </c>
      <c r="CI29" s="86">
        <f t="shared" si="261"/>
        <v>114015</v>
      </c>
      <c r="CJ29" s="87">
        <f t="shared" si="262"/>
        <v>60.001712328767127</v>
      </c>
      <c r="CK29" s="88">
        <f t="shared" si="263"/>
        <v>0.20275989297359998</v>
      </c>
      <c r="CL29" s="86" t="e">
        <f t="shared" si="264"/>
        <v>#DIV/0!</v>
      </c>
      <c r="CM29" s="86">
        <f t="shared" ref="CM29:CM31" si="298">0.4446488881*AC29</f>
        <v>2027.5989297359999</v>
      </c>
      <c r="CN29" s="89">
        <v>70</v>
      </c>
      <c r="CO29" s="86">
        <f t="shared" si="266"/>
        <v>266015</v>
      </c>
      <c r="CP29" s="87">
        <f t="shared" si="267"/>
        <v>140.00171232876713</v>
      </c>
      <c r="CQ29" s="88">
        <f t="shared" si="268"/>
        <v>0.24033286487279998</v>
      </c>
      <c r="CR29" s="86" t="e">
        <f t="shared" si="269"/>
        <v>#DIV/0!</v>
      </c>
      <c r="CS29" s="86">
        <f t="shared" ref="CS29:CS31" si="299">0.5270457563*AC29</f>
        <v>2403.3286487279997</v>
      </c>
      <c r="CT29" s="90">
        <v>3.05</v>
      </c>
      <c r="CU29" s="3"/>
      <c r="CV29" s="86">
        <f t="shared" si="271"/>
        <v>47712.800000000003</v>
      </c>
      <c r="CW29" s="86">
        <v>15</v>
      </c>
      <c r="CX29" s="86">
        <f t="shared" si="272"/>
        <v>57015</v>
      </c>
      <c r="CY29" s="87">
        <f t="shared" si="273"/>
        <v>30.001712328767123</v>
      </c>
      <c r="CZ29" s="88">
        <f t="shared" si="274"/>
        <v>1.8412986064680001</v>
      </c>
      <c r="DA29" s="86" t="e">
        <f t="shared" si="275"/>
        <v>#DIV/0!</v>
      </c>
      <c r="DB29" s="86">
        <f>4.0379355405*AC29</f>
        <v>18412.986064680001</v>
      </c>
      <c r="DC29" s="89">
        <v>30</v>
      </c>
      <c r="DD29" s="86">
        <f t="shared" si="276"/>
        <v>114015</v>
      </c>
      <c r="DE29" s="87">
        <f t="shared" si="277"/>
        <v>60.001712328767127</v>
      </c>
      <c r="DF29" s="88">
        <f t="shared" si="278"/>
        <v>1.8779415067223999</v>
      </c>
      <c r="DG29" s="86" t="e">
        <f t="shared" si="279"/>
        <v>#DIV/0!</v>
      </c>
      <c r="DH29" s="86">
        <f>4.1182927779*AC29</f>
        <v>18779.415067223999</v>
      </c>
      <c r="DI29" s="89">
        <v>70</v>
      </c>
      <c r="DJ29" s="86">
        <f t="shared" si="280"/>
        <v>266015</v>
      </c>
      <c r="DK29" s="87">
        <f t="shared" si="281"/>
        <v>140.00171232876713</v>
      </c>
      <c r="DL29" s="88">
        <f t="shared" si="282"/>
        <v>1.9471762377960005</v>
      </c>
      <c r="DM29" s="86" t="e">
        <f t="shared" si="283"/>
        <v>#DIV/0!</v>
      </c>
      <c r="DN29" s="86">
        <f>4.2701233285*AC29</f>
        <v>19471.762377960004</v>
      </c>
      <c r="DO29" s="90">
        <v>3.9</v>
      </c>
      <c r="DP29" s="7"/>
      <c r="DQ29" s="86">
        <f t="shared" si="284"/>
        <v>47712.800000000003</v>
      </c>
      <c r="DR29" s="86">
        <v>15</v>
      </c>
      <c r="DS29" s="86">
        <f t="shared" si="285"/>
        <v>57015</v>
      </c>
      <c r="DT29" s="87">
        <f t="shared" si="286"/>
        <v>30.001712328767123</v>
      </c>
      <c r="DU29" s="88">
        <f t="shared" si="287"/>
        <v>0.11948815090044</v>
      </c>
      <c r="DV29" s="86">
        <f t="shared" si="288"/>
        <v>33.335235920852355</v>
      </c>
      <c r="DW29" s="86">
        <f>0.4953903437*AC29</f>
        <v>2258.9799672720001</v>
      </c>
      <c r="DX29" s="89">
        <v>30</v>
      </c>
      <c r="DY29" s="86">
        <f t="shared" si="289"/>
        <v>114015</v>
      </c>
      <c r="DZ29" s="87">
        <f t="shared" si="290"/>
        <v>60.001712328767127</v>
      </c>
      <c r="EA29" s="88">
        <f t="shared" si="291"/>
        <v>0.12787381738619999</v>
      </c>
      <c r="EB29" s="86">
        <f t="shared" si="292"/>
        <v>66.668569254185698</v>
      </c>
      <c r="EC29" s="86">
        <f>0.5301567885*AC29</f>
        <v>2417.5149555600001</v>
      </c>
      <c r="ED29" s="89">
        <v>70</v>
      </c>
      <c r="EE29" s="86">
        <f t="shared" si="293"/>
        <v>266015</v>
      </c>
      <c r="EF29" s="87">
        <f t="shared" si="294"/>
        <v>140.00171232876713</v>
      </c>
      <c r="EG29" s="88">
        <f t="shared" si="295"/>
        <v>0.13697569724256001</v>
      </c>
      <c r="EH29" s="86">
        <f t="shared" si="296"/>
        <v>155.55745814307457</v>
      </c>
      <c r="EI29" s="86">
        <f>0.5678926088*AC29</f>
        <v>2589.5902961280003</v>
      </c>
      <c r="EJ29" s="90">
        <v>3.9</v>
      </c>
    </row>
    <row r="30" spans="1:140">
      <c r="A30" s="70" t="str">
        <f t="shared" si="0"/>
        <v>DhKu</v>
      </c>
      <c r="B30" s="71">
        <v>17</v>
      </c>
      <c r="C30" s="70" t="s">
        <v>86</v>
      </c>
      <c r="D30" s="70" t="s">
        <v>82</v>
      </c>
      <c r="E30" s="70" t="s">
        <v>79</v>
      </c>
      <c r="F30" s="3"/>
      <c r="G30" s="72">
        <v>10000</v>
      </c>
      <c r="H30" s="73">
        <v>8500</v>
      </c>
      <c r="I30" s="73">
        <v>600</v>
      </c>
      <c r="J30" s="73">
        <v>560</v>
      </c>
      <c r="K30" s="73">
        <v>340</v>
      </c>
      <c r="L30" s="73">
        <f>190*8</f>
        <v>1520</v>
      </c>
      <c r="M30" s="72">
        <f t="shared" si="215"/>
        <v>240</v>
      </c>
      <c r="N30" s="75">
        <f t="shared" si="216"/>
        <v>0.17599999999999999</v>
      </c>
      <c r="O30" s="177"/>
      <c r="P30" s="181"/>
      <c r="Q30" s="72">
        <f t="shared" si="217"/>
        <v>760</v>
      </c>
      <c r="R30" s="72">
        <f t="shared" si="218"/>
        <v>608</v>
      </c>
      <c r="S30" s="72">
        <f t="shared" si="4"/>
        <v>2280</v>
      </c>
      <c r="T30" s="3"/>
      <c r="U30" s="77">
        <f t="shared" si="219"/>
        <v>1760</v>
      </c>
      <c r="V30" s="78">
        <f t="shared" si="220"/>
        <v>0.17599999999999999</v>
      </c>
      <c r="W30" s="111">
        <f t="shared" si="221"/>
        <v>0.40400000000000003</v>
      </c>
      <c r="X30" s="32"/>
      <c r="Y30" s="79">
        <v>2.5</v>
      </c>
      <c r="Z30" s="77">
        <f t="shared" si="222"/>
        <v>4040</v>
      </c>
      <c r="AA30" s="77">
        <f t="shared" si="223"/>
        <v>3232</v>
      </c>
      <c r="AB30" s="77">
        <f t="shared" si="224"/>
        <v>4560</v>
      </c>
      <c r="AC30" s="77">
        <f t="shared" si="225"/>
        <v>3648</v>
      </c>
      <c r="AD30" s="77">
        <f t="shared" si="226"/>
        <v>3040</v>
      </c>
      <c r="AE30" s="77">
        <f t="shared" si="227"/>
        <v>40</v>
      </c>
      <c r="AF30" s="77">
        <f t="shared" si="228"/>
        <v>3000</v>
      </c>
      <c r="AG30" s="30"/>
      <c r="AH30" s="77">
        <f t="shared" si="14"/>
        <v>1520</v>
      </c>
      <c r="AI30" s="73">
        <f>246.8*8</f>
        <v>1974.4</v>
      </c>
      <c r="AJ30" s="77">
        <f>392.2*8</f>
        <v>3137.6</v>
      </c>
      <c r="AK30" s="77">
        <f t="shared" si="231"/>
        <v>6632</v>
      </c>
      <c r="AL30" s="77">
        <f>1632.5*8</f>
        <v>13060</v>
      </c>
      <c r="AM30" s="80">
        <f t="shared" si="233"/>
        <v>0.50781010719754982</v>
      </c>
      <c r="AN30" s="3"/>
      <c r="AO30" s="72">
        <v>100</v>
      </c>
      <c r="AP30" s="81">
        <f>12.5*8</f>
        <v>100</v>
      </c>
      <c r="AQ30" s="82">
        <f t="shared" si="234"/>
        <v>200</v>
      </c>
      <c r="AR30" s="3"/>
      <c r="AS30" s="82">
        <v>8</v>
      </c>
      <c r="AT30" s="3"/>
      <c r="AU30" s="77">
        <v>47</v>
      </c>
      <c r="AV30" s="77">
        <v>152</v>
      </c>
      <c r="AW30" s="77">
        <v>190</v>
      </c>
      <c r="AX30" s="83">
        <f t="shared" si="235"/>
        <v>64.680851063829792</v>
      </c>
      <c r="AY30" s="83">
        <f t="shared" si="236"/>
        <v>16</v>
      </c>
      <c r="AZ30" s="83">
        <f t="shared" si="237"/>
        <v>9.2763157894736832</v>
      </c>
      <c r="BA30" s="83">
        <f t="shared" si="238"/>
        <v>37.5</v>
      </c>
      <c r="BB30" s="3"/>
      <c r="BC30" s="84" t="s">
        <v>78</v>
      </c>
      <c r="BD30" s="77">
        <f t="shared" si="239"/>
        <v>1520</v>
      </c>
      <c r="BE30" s="77">
        <f t="shared" si="240"/>
        <v>3008</v>
      </c>
      <c r="BF30" s="77" t="e" vm="1">
        <f>'[1]4 - Flächen'!AJ30</f>
        <v>#VALUE!</v>
      </c>
      <c r="BG30" s="77" t="e" vm="2">
        <f t="shared" si="241"/>
        <v>#VALUE!</v>
      </c>
      <c r="BH30" s="77">
        <f t="shared" si="242"/>
        <v>760</v>
      </c>
      <c r="BI30" s="77" t="e" vm="2">
        <f t="shared" si="243"/>
        <v>#VALUE!</v>
      </c>
      <c r="BJ30" s="84">
        <f t="shared" si="244"/>
        <v>24</v>
      </c>
      <c r="BK30" s="85">
        <v>0.2</v>
      </c>
      <c r="BL30" s="77">
        <f t="shared" si="245"/>
        <v>608</v>
      </c>
      <c r="BM30" s="77">
        <f t="shared" si="246"/>
        <v>601.6</v>
      </c>
      <c r="BN30" s="77">
        <f t="shared" si="247"/>
        <v>1424</v>
      </c>
      <c r="BO30" s="77">
        <f t="shared" si="248"/>
        <v>96</v>
      </c>
      <c r="BP30" s="77" cm="1">
        <f t="array" ref="BP30">BE30 - _xlfn.IFS(
    _xlfn.XOR(Y30 &lt; 2.5, Y30 = 2.5), 0.5 * AH30,
    _xlfn.XOR(Y30 &lt; 2.5, Y30 = 2.5) = FALSE, 0
)</f>
        <v>2248</v>
      </c>
      <c r="BQ30" s="77">
        <f t="shared" si="249"/>
        <v>16</v>
      </c>
      <c r="BR30" s="77" t="e" vm="1">
        <f>'[1]4 - Flächen'!AI30</f>
        <v>#VALUE!</v>
      </c>
      <c r="BS30" s="26"/>
      <c r="BT30" s="77">
        <f t="shared" si="250"/>
        <v>912</v>
      </c>
      <c r="BU30" s="77">
        <f t="shared" si="251"/>
        <v>17844.8</v>
      </c>
      <c r="BV30" s="77">
        <f t="shared" si="252"/>
        <v>912</v>
      </c>
      <c r="BW30" s="77">
        <f t="shared" si="253"/>
        <v>448</v>
      </c>
      <c r="BX30" s="58"/>
      <c r="BY30" s="58">
        <f t="shared" si="254"/>
        <v>0</v>
      </c>
      <c r="BZ30" s="3"/>
      <c r="CA30" s="86">
        <f t="shared" si="255"/>
        <v>38170.239999999998</v>
      </c>
      <c r="CB30" s="89">
        <v>15</v>
      </c>
      <c r="CC30" s="86">
        <f t="shared" si="256"/>
        <v>45615</v>
      </c>
      <c r="CD30" s="87">
        <f t="shared" si="257"/>
        <v>24.001712328767123</v>
      </c>
      <c r="CE30" s="88">
        <f t="shared" si="258"/>
        <v>0.17799015236400004</v>
      </c>
      <c r="CF30" s="86" t="e">
        <f t="shared" si="259"/>
        <v>#DIV/0!</v>
      </c>
      <c r="CG30" s="86">
        <f t="shared" si="297"/>
        <v>1423.9212189120001</v>
      </c>
      <c r="CH30" s="89">
        <v>30</v>
      </c>
      <c r="CI30" s="86">
        <f t="shared" si="261"/>
        <v>91215</v>
      </c>
      <c r="CJ30" s="87">
        <f t="shared" si="262"/>
        <v>48.001712328767127</v>
      </c>
      <c r="CK30" s="88">
        <f t="shared" si="263"/>
        <v>0.20275989297360003</v>
      </c>
      <c r="CL30" s="86" t="e">
        <f t="shared" si="264"/>
        <v>#DIV/0!</v>
      </c>
      <c r="CM30" s="86">
        <f t="shared" si="298"/>
        <v>1622.0791437887999</v>
      </c>
      <c r="CN30" s="89">
        <v>70</v>
      </c>
      <c r="CO30" s="86">
        <f t="shared" si="266"/>
        <v>212815</v>
      </c>
      <c r="CP30" s="87">
        <f t="shared" si="267"/>
        <v>112.00171232876713</v>
      </c>
      <c r="CQ30" s="88">
        <f t="shared" si="268"/>
        <v>0.24033286487279998</v>
      </c>
      <c r="CR30" s="86" t="e">
        <f t="shared" si="269"/>
        <v>#DIV/0!</v>
      </c>
      <c r="CS30" s="86">
        <f t="shared" si="299"/>
        <v>1922.6629189823998</v>
      </c>
      <c r="CT30" s="90">
        <v>3.05</v>
      </c>
      <c r="CU30" s="3"/>
      <c r="CV30" s="86">
        <f t="shared" si="271"/>
        <v>38170.239999999998</v>
      </c>
      <c r="CW30" s="86">
        <v>15</v>
      </c>
      <c r="CX30" s="86">
        <f t="shared" si="272"/>
        <v>45615</v>
      </c>
      <c r="CY30" s="87">
        <f t="shared" si="273"/>
        <v>24.001712328767123</v>
      </c>
      <c r="CZ30" s="88">
        <f t="shared" si="274"/>
        <v>1.8187324002671998</v>
      </c>
      <c r="DA30" s="86" t="e">
        <f t="shared" si="275"/>
        <v>#DIV/0!</v>
      </c>
      <c r="DB30" s="86">
        <f>3.9884482462*AC30</f>
        <v>14549.859202137599</v>
      </c>
      <c r="DC30" s="89">
        <v>30</v>
      </c>
      <c r="DD30" s="86">
        <f t="shared" si="276"/>
        <v>91215</v>
      </c>
      <c r="DE30" s="87">
        <f t="shared" si="277"/>
        <v>48.001712328767127</v>
      </c>
      <c r="DF30" s="88">
        <f t="shared" si="278"/>
        <v>1.8553753005216003</v>
      </c>
      <c r="DG30" s="86" t="e">
        <f t="shared" si="279"/>
        <v>#DIV/0!</v>
      </c>
      <c r="DH30" s="86">
        <f>4.0688054836*AC30</f>
        <v>14843.002404172801</v>
      </c>
      <c r="DI30" s="89">
        <v>70</v>
      </c>
      <c r="DJ30" s="86">
        <f t="shared" si="280"/>
        <v>212815</v>
      </c>
      <c r="DK30" s="87">
        <f t="shared" si="281"/>
        <v>112.00171232876713</v>
      </c>
      <c r="DL30" s="88">
        <f t="shared" si="282"/>
        <v>1.9246100315952002</v>
      </c>
      <c r="DM30" s="86" t="e">
        <f t="shared" si="283"/>
        <v>#DIV/0!</v>
      </c>
      <c r="DN30" s="86">
        <f>4.2206360342*AC30</f>
        <v>15396.880252761601</v>
      </c>
      <c r="DO30" s="90">
        <v>3.9</v>
      </c>
      <c r="DP30" s="7"/>
      <c r="DQ30" s="86">
        <f t="shared" si="284"/>
        <v>38170.239999999998</v>
      </c>
      <c r="DR30" s="86">
        <v>15</v>
      </c>
      <c r="DS30" s="86">
        <f t="shared" si="285"/>
        <v>45615</v>
      </c>
      <c r="DT30" s="87">
        <f t="shared" si="286"/>
        <v>24.001712328767123</v>
      </c>
      <c r="DU30" s="88">
        <f t="shared" si="287"/>
        <v>0.11883444060240002</v>
      </c>
      <c r="DV30" s="86">
        <f t="shared" si="288"/>
        <v>26.668569254185691</v>
      </c>
      <c r="DW30" s="86">
        <f>0.492680102*AC30</f>
        <v>1797.2970120960001</v>
      </c>
      <c r="DX30" s="89">
        <v>30</v>
      </c>
      <c r="DY30" s="86">
        <f t="shared" si="289"/>
        <v>91215</v>
      </c>
      <c r="DZ30" s="87">
        <f t="shared" si="290"/>
        <v>48.001712328767127</v>
      </c>
      <c r="EA30" s="88">
        <f t="shared" si="291"/>
        <v>0.12722010708815998</v>
      </c>
      <c r="EB30" s="86">
        <f t="shared" si="292"/>
        <v>53.335235920852362</v>
      </c>
      <c r="EC30" s="86">
        <f>0.5274465468*AC30</f>
        <v>1924.1250027264</v>
      </c>
      <c r="ED30" s="89">
        <v>70</v>
      </c>
      <c r="EE30" s="86">
        <f t="shared" si="293"/>
        <v>212815</v>
      </c>
      <c r="EF30" s="87">
        <f t="shared" si="294"/>
        <v>112.00171232876713</v>
      </c>
      <c r="EG30" s="88">
        <f t="shared" si="295"/>
        <v>0.13632198694452</v>
      </c>
      <c r="EH30" s="86">
        <f t="shared" si="296"/>
        <v>124.44634703196347</v>
      </c>
      <c r="EI30" s="86">
        <f>0.5651823671*AC30</f>
        <v>2061.7852751808</v>
      </c>
      <c r="EJ30" s="90">
        <v>3.9</v>
      </c>
    </row>
    <row r="31" spans="1:140">
      <c r="A31" s="70" t="str">
        <f t="shared" si="0"/>
        <v>DhWe</v>
      </c>
      <c r="B31" s="71">
        <v>18</v>
      </c>
      <c r="C31" s="70" t="s">
        <v>86</v>
      </c>
      <c r="D31" s="70" t="s">
        <v>82</v>
      </c>
      <c r="E31" s="70" t="s">
        <v>80</v>
      </c>
      <c r="F31" s="3"/>
      <c r="G31" s="72">
        <v>10000</v>
      </c>
      <c r="H31" s="72">
        <v>8493</v>
      </c>
      <c r="I31" s="72">
        <v>764</v>
      </c>
      <c r="J31" s="72">
        <v>423</v>
      </c>
      <c r="K31" s="72">
        <v>320</v>
      </c>
      <c r="L31" s="72">
        <f>190*6</f>
        <v>1140</v>
      </c>
      <c r="M31" s="72">
        <f t="shared" si="215"/>
        <v>180</v>
      </c>
      <c r="N31" s="91">
        <f t="shared" si="216"/>
        <v>0.13200000000000001</v>
      </c>
      <c r="O31" s="179"/>
      <c r="P31" s="182"/>
      <c r="Q31" s="72">
        <f t="shared" si="217"/>
        <v>570</v>
      </c>
      <c r="R31" s="72">
        <f t="shared" si="218"/>
        <v>456</v>
      </c>
      <c r="S31" s="72">
        <f t="shared" si="4"/>
        <v>1710</v>
      </c>
      <c r="T31" s="3"/>
      <c r="U31" s="77">
        <f t="shared" si="219"/>
        <v>1320</v>
      </c>
      <c r="V31" s="78">
        <f t="shared" si="220"/>
        <v>0.13200000000000001</v>
      </c>
      <c r="W31" s="111">
        <f t="shared" si="221"/>
        <v>0.30299999999999999</v>
      </c>
      <c r="X31" s="32"/>
      <c r="Y31" s="79">
        <v>2.5</v>
      </c>
      <c r="Z31" s="77">
        <f t="shared" si="222"/>
        <v>3030</v>
      </c>
      <c r="AA31" s="77">
        <f t="shared" si="223"/>
        <v>2424</v>
      </c>
      <c r="AB31" s="77">
        <f t="shared" si="224"/>
        <v>3420</v>
      </c>
      <c r="AC31" s="77">
        <f t="shared" si="225"/>
        <v>2736</v>
      </c>
      <c r="AD31" s="77">
        <f t="shared" si="226"/>
        <v>2280</v>
      </c>
      <c r="AE31" s="77">
        <f t="shared" si="227"/>
        <v>30</v>
      </c>
      <c r="AF31" s="77">
        <f t="shared" si="228"/>
        <v>2250</v>
      </c>
      <c r="AG31" s="30"/>
      <c r="AH31" s="77">
        <f t="shared" si="14"/>
        <v>1140</v>
      </c>
      <c r="AI31" s="73">
        <f>246.8*6</f>
        <v>1480.8000000000002</v>
      </c>
      <c r="AJ31" s="77">
        <f>392.2*6</f>
        <v>2353.1999999999998</v>
      </c>
      <c r="AK31" s="77">
        <f t="shared" si="231"/>
        <v>4974</v>
      </c>
      <c r="AL31" s="77">
        <f>1632.5*6</f>
        <v>9795</v>
      </c>
      <c r="AM31" s="80">
        <f t="shared" si="233"/>
        <v>0.50781010719754982</v>
      </c>
      <c r="AN31" s="3"/>
      <c r="AO31" s="72">
        <v>90</v>
      </c>
      <c r="AP31" s="81">
        <f>12.5*6</f>
        <v>75</v>
      </c>
      <c r="AQ31" s="82">
        <f t="shared" si="234"/>
        <v>165</v>
      </c>
      <c r="AR31" s="3"/>
      <c r="AS31" s="82">
        <v>6</v>
      </c>
      <c r="AT31" s="3"/>
      <c r="AU31" s="77">
        <v>47</v>
      </c>
      <c r="AV31" s="77">
        <v>152</v>
      </c>
      <c r="AW31" s="77">
        <v>190</v>
      </c>
      <c r="AX31" s="83">
        <f t="shared" si="235"/>
        <v>48.51063829787234</v>
      </c>
      <c r="AY31" s="83">
        <f t="shared" si="236"/>
        <v>12</v>
      </c>
      <c r="AZ31" s="83">
        <f t="shared" si="237"/>
        <v>15.749122807017544</v>
      </c>
      <c r="BA31" s="83">
        <f t="shared" si="238"/>
        <v>63.666666666666664</v>
      </c>
      <c r="BB31" s="3"/>
      <c r="BC31" s="84" t="s">
        <v>78</v>
      </c>
      <c r="BD31" s="77">
        <f t="shared" si="239"/>
        <v>1140</v>
      </c>
      <c r="BE31" s="77">
        <f t="shared" si="240"/>
        <v>2256</v>
      </c>
      <c r="BF31" s="77" t="e" vm="1">
        <f>'[1]4 - Flächen'!AJ31</f>
        <v>#VALUE!</v>
      </c>
      <c r="BG31" s="77" t="e" vm="2">
        <f t="shared" si="241"/>
        <v>#VALUE!</v>
      </c>
      <c r="BH31" s="77">
        <f t="shared" si="242"/>
        <v>570</v>
      </c>
      <c r="BI31" s="77" t="e" vm="2">
        <f t="shared" si="243"/>
        <v>#VALUE!</v>
      </c>
      <c r="BJ31" s="84">
        <f t="shared" si="244"/>
        <v>18</v>
      </c>
      <c r="BK31" s="85">
        <v>0.2</v>
      </c>
      <c r="BL31" s="77">
        <f t="shared" si="245"/>
        <v>456</v>
      </c>
      <c r="BM31" s="77">
        <f t="shared" si="246"/>
        <v>451.20000000000005</v>
      </c>
      <c r="BN31" s="77">
        <f t="shared" si="247"/>
        <v>1068</v>
      </c>
      <c r="BO31" s="77">
        <f t="shared" si="248"/>
        <v>72</v>
      </c>
      <c r="BP31" s="77" cm="1">
        <f t="array" ref="BP31">BE31 - _xlfn.IFS(
    _xlfn.XOR(Y31 &lt; 2.5, Y31 = 2.5), 0.5 * AH31,
    _xlfn.XOR(Y31 &lt; 2.5, Y31 = 2.5) = FALSE, 0
)</f>
        <v>1686</v>
      </c>
      <c r="BQ31" s="77">
        <f t="shared" si="249"/>
        <v>12</v>
      </c>
      <c r="BR31" s="77" t="e" vm="1">
        <f>'[1]4 - Flächen'!AI31</f>
        <v>#VALUE!</v>
      </c>
      <c r="BS31" s="26"/>
      <c r="BT31" s="77">
        <f t="shared" si="250"/>
        <v>684</v>
      </c>
      <c r="BU31" s="77">
        <f t="shared" si="251"/>
        <v>13383.6</v>
      </c>
      <c r="BV31" s="77">
        <f t="shared" si="252"/>
        <v>684</v>
      </c>
      <c r="BW31" s="77">
        <f t="shared" si="253"/>
        <v>336</v>
      </c>
      <c r="BX31" s="58"/>
      <c r="BY31" s="58">
        <f t="shared" si="254"/>
        <v>0</v>
      </c>
      <c r="BZ31" s="3"/>
      <c r="CA31" s="86">
        <f t="shared" si="255"/>
        <v>28627.68</v>
      </c>
      <c r="CB31" s="89">
        <v>15</v>
      </c>
      <c r="CC31" s="86">
        <f t="shared" si="256"/>
        <v>34215</v>
      </c>
      <c r="CD31" s="87">
        <f t="shared" si="257"/>
        <v>18.001712328767123</v>
      </c>
      <c r="CE31" s="88">
        <f t="shared" si="258"/>
        <v>0.17799015236400001</v>
      </c>
      <c r="CF31" s="86" t="e">
        <f t="shared" si="259"/>
        <v>#DIV/0!</v>
      </c>
      <c r="CG31" s="86">
        <f t="shared" si="297"/>
        <v>1067.9409141840001</v>
      </c>
      <c r="CH31" s="89">
        <v>30</v>
      </c>
      <c r="CI31" s="86">
        <f t="shared" si="261"/>
        <v>68415</v>
      </c>
      <c r="CJ31" s="87">
        <f t="shared" si="262"/>
        <v>36.001712328767127</v>
      </c>
      <c r="CK31" s="88">
        <f t="shared" si="263"/>
        <v>0.20275989297359998</v>
      </c>
      <c r="CL31" s="86" t="e">
        <f t="shared" si="264"/>
        <v>#DIV/0!</v>
      </c>
      <c r="CM31" s="86">
        <f t="shared" si="298"/>
        <v>1216.5593578415999</v>
      </c>
      <c r="CN31" s="89">
        <v>70</v>
      </c>
      <c r="CO31" s="86">
        <f t="shared" si="266"/>
        <v>159615</v>
      </c>
      <c r="CP31" s="87">
        <f t="shared" si="267"/>
        <v>84.001712328767127</v>
      </c>
      <c r="CQ31" s="88">
        <f t="shared" si="268"/>
        <v>0.24033286487280001</v>
      </c>
      <c r="CR31" s="86" t="e">
        <f t="shared" si="269"/>
        <v>#DIV/0!</v>
      </c>
      <c r="CS31" s="86">
        <f t="shared" si="299"/>
        <v>1441.9971892367998</v>
      </c>
      <c r="CT31" s="90">
        <v>3.05</v>
      </c>
      <c r="CU31" s="3"/>
      <c r="CV31" s="86">
        <f t="shared" si="271"/>
        <v>28627.68</v>
      </c>
      <c r="CW31" s="86">
        <v>15</v>
      </c>
      <c r="CX31" s="86">
        <f t="shared" si="272"/>
        <v>34215</v>
      </c>
      <c r="CY31" s="87">
        <f t="shared" si="273"/>
        <v>18.001712328767123</v>
      </c>
      <c r="CZ31" s="88">
        <f t="shared" si="274"/>
        <v>1.8262544690160001</v>
      </c>
      <c r="DA31" s="86" t="e">
        <f t="shared" si="275"/>
        <v>#DIV/0!</v>
      </c>
      <c r="DB31" s="86">
        <f>4.004944011*AC31</f>
        <v>10957.526814096</v>
      </c>
      <c r="DC31" s="89">
        <v>30</v>
      </c>
      <c r="DD31" s="86">
        <f t="shared" si="276"/>
        <v>68415</v>
      </c>
      <c r="DE31" s="87">
        <f t="shared" si="277"/>
        <v>36.001712328767127</v>
      </c>
      <c r="DF31" s="88">
        <f t="shared" si="278"/>
        <v>1.8628973692704005</v>
      </c>
      <c r="DG31" s="86" t="e">
        <f t="shared" si="279"/>
        <v>#DIV/0!</v>
      </c>
      <c r="DH31" s="86">
        <f>4.0853012484*AC31</f>
        <v>11177.384215622402</v>
      </c>
      <c r="DI31" s="89">
        <v>70</v>
      </c>
      <c r="DJ31" s="86">
        <f t="shared" si="280"/>
        <v>159615</v>
      </c>
      <c r="DK31" s="87">
        <f t="shared" si="281"/>
        <v>84.001712328767127</v>
      </c>
      <c r="DL31" s="88">
        <f t="shared" si="282"/>
        <v>1.9321321002984002</v>
      </c>
      <c r="DM31" s="86" t="e">
        <f t="shared" si="283"/>
        <v>#DIV/0!</v>
      </c>
      <c r="DN31" s="86">
        <f>4.2371317989*AC31</f>
        <v>11592.792601790401</v>
      </c>
      <c r="DO31" s="90">
        <v>3.9</v>
      </c>
      <c r="DP31" s="7"/>
      <c r="DQ31" s="86">
        <f t="shared" si="284"/>
        <v>28627.68</v>
      </c>
      <c r="DR31" s="86">
        <v>15</v>
      </c>
      <c r="DS31" s="86">
        <f t="shared" si="285"/>
        <v>34215</v>
      </c>
      <c r="DT31" s="87">
        <f t="shared" si="286"/>
        <v>18.001712328767123</v>
      </c>
      <c r="DU31" s="88">
        <f t="shared" si="287"/>
        <v>0.11905234403508001</v>
      </c>
      <c r="DV31" s="86">
        <f t="shared" si="288"/>
        <v>20.001902587519027</v>
      </c>
      <c r="DW31" s="86">
        <f>0.4935835159*AC31</f>
        <v>1350.4444995024</v>
      </c>
      <c r="DX31" s="89">
        <v>30</v>
      </c>
      <c r="DY31" s="86">
        <f t="shared" si="289"/>
        <v>68415</v>
      </c>
      <c r="DZ31" s="87">
        <f t="shared" si="290"/>
        <v>36.001712328767127</v>
      </c>
      <c r="EA31" s="88">
        <f t="shared" si="291"/>
        <v>0.12743801052083997</v>
      </c>
      <c r="EB31" s="86">
        <f t="shared" si="292"/>
        <v>40.001902587519027</v>
      </c>
      <c r="EC31" s="86">
        <f>0.5283499607*AC31</f>
        <v>1445.5654924751998</v>
      </c>
      <c r="ED31" s="89">
        <v>70</v>
      </c>
      <c r="EE31" s="86">
        <f t="shared" si="293"/>
        <v>159615</v>
      </c>
      <c r="EF31" s="87">
        <f t="shared" si="294"/>
        <v>84.001712328767127</v>
      </c>
      <c r="EG31" s="88">
        <f t="shared" si="295"/>
        <v>0.13653989037719999</v>
      </c>
      <c r="EH31" s="86">
        <f t="shared" si="296"/>
        <v>93.335235920852355</v>
      </c>
      <c r="EI31" s="86">
        <f>0.566085781*AC31</f>
        <v>1548.8106968159998</v>
      </c>
      <c r="EJ31" s="90">
        <v>3.9</v>
      </c>
    </row>
    <row r="32" spans="1:140">
      <c r="A32" s="20" t="str">
        <f t="shared" si="0"/>
        <v/>
      </c>
      <c r="B32" s="92"/>
      <c r="C32" s="20"/>
      <c r="D32" s="20"/>
      <c r="E32" s="20"/>
      <c r="F32" s="3"/>
      <c r="G32" s="93"/>
      <c r="H32" s="93"/>
      <c r="I32" s="93"/>
      <c r="J32" s="93"/>
      <c r="K32" s="93"/>
      <c r="L32" s="93"/>
      <c r="M32" s="94"/>
      <c r="N32" s="95"/>
      <c r="O32" s="94"/>
      <c r="P32" s="94"/>
      <c r="Q32" s="93"/>
      <c r="R32" s="93"/>
      <c r="S32" s="21">
        <f t="shared" si="4"/>
        <v>0</v>
      </c>
      <c r="T32" s="3"/>
      <c r="U32" s="34"/>
      <c r="V32" s="96"/>
      <c r="W32" s="112"/>
      <c r="X32" s="28"/>
      <c r="Y32" s="28"/>
      <c r="Z32" s="34"/>
      <c r="AA32" s="34"/>
      <c r="AB32" s="34"/>
      <c r="AC32" s="26">
        <f>Z32*(1-0.15)</f>
        <v>0</v>
      </c>
      <c r="AD32" s="34"/>
      <c r="AE32" s="34">
        <f t="shared" si="227"/>
        <v>0</v>
      </c>
      <c r="AF32" s="34"/>
      <c r="AG32" s="30"/>
      <c r="AH32" s="34">
        <f t="shared" si="14"/>
        <v>0</v>
      </c>
      <c r="AI32" s="93"/>
      <c r="AJ32" s="34"/>
      <c r="AK32" s="34"/>
      <c r="AL32" s="34"/>
      <c r="AM32" s="97"/>
      <c r="AN32" s="3"/>
      <c r="AO32" s="93"/>
      <c r="AP32" s="98"/>
      <c r="AQ32" s="99"/>
      <c r="AR32" s="3"/>
      <c r="AS32" s="34"/>
      <c r="AT32" s="3"/>
      <c r="AU32" s="99"/>
      <c r="AV32" s="34"/>
      <c r="AW32" s="34"/>
      <c r="AX32" s="99"/>
      <c r="AY32" s="99"/>
      <c r="AZ32" s="99"/>
      <c r="BA32" s="99"/>
      <c r="BB32" s="99"/>
      <c r="BC32" s="11"/>
      <c r="BD32" s="11"/>
      <c r="BE32" s="11"/>
      <c r="BF32" s="11"/>
      <c r="BG32" s="11"/>
      <c r="BH32" s="11"/>
      <c r="BI32" s="11"/>
      <c r="BJ32" s="100">
        <f t="shared" si="244"/>
        <v>0</v>
      </c>
      <c r="BK32" s="101"/>
      <c r="BL32" s="11"/>
      <c r="BM32" s="11"/>
      <c r="BN32" s="26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3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102"/>
      <c r="CO32" s="7"/>
      <c r="CP32" s="7"/>
      <c r="CQ32" s="7"/>
      <c r="CR32" s="103"/>
      <c r="CS32" s="103"/>
      <c r="CT32" s="103"/>
      <c r="CU32" s="3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102"/>
      <c r="DH32" s="102"/>
      <c r="DI32" s="102"/>
      <c r="DJ32" s="102"/>
      <c r="DK32" s="7"/>
      <c r="DL32" s="7"/>
      <c r="DM32" s="103"/>
      <c r="DN32" s="102"/>
      <c r="DO32" s="104"/>
      <c r="DP32" s="7"/>
      <c r="DQ32" s="7"/>
      <c r="DR32" s="7"/>
      <c r="DS32" s="7"/>
      <c r="DT32" s="7"/>
      <c r="DU32" s="7"/>
      <c r="DV32" s="7"/>
      <c r="DW32" s="102"/>
      <c r="DX32" s="7"/>
      <c r="DY32" s="7"/>
      <c r="DZ32" s="7"/>
      <c r="EA32" s="7"/>
      <c r="EB32" s="7"/>
      <c r="EC32" s="102"/>
      <c r="ED32" s="102"/>
      <c r="EE32" s="7"/>
      <c r="EF32" s="7"/>
      <c r="EG32" s="7"/>
      <c r="EH32" s="7"/>
      <c r="EI32" s="102"/>
      <c r="EJ32" s="7"/>
    </row>
    <row r="33" spans="1:140">
      <c r="A33" s="18" t="str">
        <f t="shared" si="0"/>
        <v>DgGi</v>
      </c>
      <c r="B33" s="19">
        <v>200</v>
      </c>
      <c r="C33" s="18" t="s">
        <v>86</v>
      </c>
      <c r="D33" s="18" t="s">
        <v>76</v>
      </c>
      <c r="E33" s="18" t="s">
        <v>83</v>
      </c>
      <c r="F33" s="3"/>
      <c r="G33" s="21">
        <v>60000</v>
      </c>
      <c r="H33" s="21">
        <f t="shared" ref="H33:M33" si="300">H23*6</f>
        <v>43350</v>
      </c>
      <c r="I33" s="21">
        <f t="shared" si="300"/>
        <v>6984</v>
      </c>
      <c r="J33" s="21">
        <f t="shared" si="300"/>
        <v>5586</v>
      </c>
      <c r="K33" s="21">
        <f t="shared" si="300"/>
        <v>4080</v>
      </c>
      <c r="L33" s="21">
        <f t="shared" si="300"/>
        <v>6840</v>
      </c>
      <c r="M33" s="21">
        <f t="shared" si="300"/>
        <v>1080</v>
      </c>
      <c r="N33" s="23">
        <f t="shared" ref="N33:N41" si="301">(L33+M33)/G33</f>
        <v>0.13200000000000001</v>
      </c>
      <c r="O33" s="24"/>
      <c r="P33" s="176"/>
      <c r="Q33" s="21">
        <f>Q23*6</f>
        <v>3420</v>
      </c>
      <c r="R33" s="21">
        <f t="shared" ref="R33:R41" si="302">Q33*0.8</f>
        <v>2736</v>
      </c>
      <c r="S33" s="21">
        <f t="shared" si="4"/>
        <v>10260</v>
      </c>
      <c r="T33" s="3"/>
      <c r="U33" s="26">
        <f t="shared" ref="U33:U41" si="303">L33+M33</f>
        <v>7920</v>
      </c>
      <c r="V33" s="27">
        <f t="shared" ref="V33:V41" si="304">U33/G33</f>
        <v>0.13200000000000001</v>
      </c>
      <c r="W33" s="108">
        <f t="shared" ref="W33:W41" si="305">Z33/G33</f>
        <v>0.189</v>
      </c>
      <c r="X33" s="32"/>
      <c r="Y33" s="29">
        <v>1.5</v>
      </c>
      <c r="Z33" s="26">
        <f t="shared" ref="Z33:Z41" si="306">(L33*Y33)+M33</f>
        <v>11340</v>
      </c>
      <c r="AA33" s="26">
        <f t="shared" ref="AA33:AA41" si="307">Z33*0.8</f>
        <v>9072</v>
      </c>
      <c r="AB33" s="26">
        <f t="shared" ref="AB33:AB41" si="308">(L33*Y33)+BH33</f>
        <v>13680</v>
      </c>
      <c r="AC33" s="21">
        <f>AC23*6</f>
        <v>10944</v>
      </c>
      <c r="AD33" s="26">
        <f t="shared" ref="AD33:AD41" si="309">((L33*Y33)*0.8)</f>
        <v>8208</v>
      </c>
      <c r="AE33" s="26">
        <f t="shared" si="227"/>
        <v>180</v>
      </c>
      <c r="AF33" s="26">
        <f t="shared" ref="AF33:AF41" si="310">AD33-AE33</f>
        <v>8028</v>
      </c>
      <c r="AG33" s="30"/>
      <c r="AH33" s="26">
        <f t="shared" si="14"/>
        <v>6840</v>
      </c>
      <c r="AI33" s="26">
        <f t="shared" ref="AI33:AL33" si="311">AI23*6</f>
        <v>8884.8000000000011</v>
      </c>
      <c r="AJ33" s="26">
        <f t="shared" si="311"/>
        <v>8316</v>
      </c>
      <c r="AK33" s="26">
        <f t="shared" si="311"/>
        <v>24040.800000000003</v>
      </c>
      <c r="AL33" s="26">
        <f t="shared" si="311"/>
        <v>38250</v>
      </c>
      <c r="AM33" s="31">
        <f t="shared" ref="AM33:AM41" si="312">AK33/AL33</f>
        <v>0.62851764705882363</v>
      </c>
      <c r="AN33" s="3"/>
      <c r="AO33" s="21">
        <f t="shared" ref="AO33:AP33" si="313">AO23*6</f>
        <v>1200</v>
      </c>
      <c r="AP33" s="33">
        <f t="shared" si="313"/>
        <v>900</v>
      </c>
      <c r="AQ33" s="26">
        <f t="shared" ref="AQ33:AQ41" si="314">AO33+AP33</f>
        <v>2100</v>
      </c>
      <c r="AR33" s="3"/>
      <c r="AS33" s="21">
        <f>AS23*6</f>
        <v>36</v>
      </c>
      <c r="AT33" s="3"/>
      <c r="AU33" s="26">
        <v>47</v>
      </c>
      <c r="AV33" s="26">
        <v>152</v>
      </c>
      <c r="AW33" s="26">
        <v>190</v>
      </c>
      <c r="AX33" s="35">
        <f t="shared" ref="AX33:AY33" si="315">AX23*6</f>
        <v>174.63829787234042</v>
      </c>
      <c r="AY33" s="35">
        <f t="shared" si="315"/>
        <v>72</v>
      </c>
      <c r="AZ33" s="35">
        <f t="shared" ref="AZ33:AZ41" si="316">I33/AX33</f>
        <v>39.991228070175438</v>
      </c>
      <c r="BA33" s="35">
        <f t="shared" ref="BA33:BA41" si="317">I33/AY33</f>
        <v>97</v>
      </c>
      <c r="BB33" s="3"/>
      <c r="BC33" s="36" t="s">
        <v>78</v>
      </c>
      <c r="BD33" s="26">
        <f t="shared" ref="BD33:BD41" si="318">AH33</f>
        <v>6840</v>
      </c>
      <c r="BE33" s="21">
        <f t="shared" ref="BE33:BF33" si="319">BE23*6</f>
        <v>8136</v>
      </c>
      <c r="BF33" s="21" t="e" vm="2">
        <f t="shared" si="319"/>
        <v>#VALUE!</v>
      </c>
      <c r="BG33" s="26" t="e" vm="2">
        <f t="shared" ref="BG33:BG41" si="320">BF33-BL33-((2.2*1.1)*BJ33)</f>
        <v>#VALUE!</v>
      </c>
      <c r="BH33" s="26">
        <f t="shared" ref="BH33:BH41" si="321">Q33</f>
        <v>3420</v>
      </c>
      <c r="BI33" s="21" t="e" vm="2">
        <f t="shared" ref="BI33:BJ33" si="322">BI23*6</f>
        <v>#VALUE!</v>
      </c>
      <c r="BJ33" s="21">
        <f t="shared" si="322"/>
        <v>108</v>
      </c>
      <c r="BK33" s="106">
        <v>0.2</v>
      </c>
      <c r="BL33" s="21">
        <f t="shared" ref="BL33:BR33" si="323">BL23*6</f>
        <v>1641.6000000000001</v>
      </c>
      <c r="BM33" s="21">
        <f t="shared" si="323"/>
        <v>2707.2000000000003</v>
      </c>
      <c r="BN33" s="21">
        <f t="shared" si="323"/>
        <v>6408</v>
      </c>
      <c r="BO33" s="21">
        <f t="shared" si="323"/>
        <v>432</v>
      </c>
      <c r="BP33" s="21">
        <f t="shared" si="323"/>
        <v>4716</v>
      </c>
      <c r="BQ33" s="21">
        <f t="shared" si="323"/>
        <v>36</v>
      </c>
      <c r="BR33" s="21" t="e" vm="2">
        <f t="shared" si="323"/>
        <v>#VALUE!</v>
      </c>
      <c r="BS33" s="26"/>
      <c r="BT33" s="21">
        <f t="shared" ref="BT33:BW33" si="324">BT23*6</f>
        <v>2462.3999999999996</v>
      </c>
      <c r="BU33" s="21">
        <f t="shared" si="324"/>
        <v>48180.959999999999</v>
      </c>
      <c r="BV33" s="21">
        <f t="shared" si="324"/>
        <v>4104</v>
      </c>
      <c r="BW33" s="21">
        <f t="shared" si="324"/>
        <v>2016</v>
      </c>
      <c r="BX33" s="26"/>
      <c r="BY33" s="26">
        <f t="shared" ref="BY33:BY41" si="325">BY23*6</f>
        <v>0</v>
      </c>
      <c r="BZ33" s="3"/>
      <c r="CA33" s="40">
        <f t="shared" ref="CA33:CA41" si="326">(34.4*365*$AD33)/1000</f>
        <v>103059.648</v>
      </c>
      <c r="CB33" s="40">
        <v>15</v>
      </c>
      <c r="CC33" s="40">
        <f t="shared" ref="CC33:CC41" si="327">$AD33*CB33+($CB33)</f>
        <v>123135</v>
      </c>
      <c r="CD33" s="41">
        <f t="shared" ref="CD33:CD41" si="328">((CC33-$CB33)/1900)+($CB33/8760)</f>
        <v>64.801712328767124</v>
      </c>
      <c r="CE33" s="42">
        <f t="shared" ref="CE33:CE41" si="329">((380*$CG33)/1000)/$AD33</f>
        <v>0.20588433348799998</v>
      </c>
      <c r="CF33" s="40" t="e">
        <f t="shared" ref="CF33:CF41" si="330">$CD33/$CU33</f>
        <v>#DIV/0!</v>
      </c>
      <c r="CG33" s="21">
        <f>CG23*6</f>
        <v>4447.1016033407996</v>
      </c>
      <c r="CH33" s="43">
        <v>30</v>
      </c>
      <c r="CI33" s="40">
        <f t="shared" ref="CI33:CI41" si="331">$AD33*CH33+($CB33)</f>
        <v>246255</v>
      </c>
      <c r="CJ33" s="41">
        <f t="shared" ref="CJ33:CJ41" si="332">((CI33-$CB33)/1900)+($CB33/8760)</f>
        <v>129.60171232876712</v>
      </c>
      <c r="CK33" s="42">
        <f t="shared" ref="CK33:CK41" si="333">((380*$CM33)/1000)/$AD33</f>
        <v>0.23081665266933332</v>
      </c>
      <c r="CL33" s="40" t="e">
        <f t="shared" ref="CL33:CL41" si="334">$CJ33/$CU33</f>
        <v>#DIV/0!</v>
      </c>
      <c r="CM33" s="21">
        <f>CM23*6</f>
        <v>4985.6396976575998</v>
      </c>
      <c r="CN33" s="43">
        <v>70</v>
      </c>
      <c r="CO33" s="40">
        <f t="shared" ref="CO33:CO41" si="335">$AD33*CN33+($CB33)</f>
        <v>574575</v>
      </c>
      <c r="CP33" s="41">
        <f t="shared" ref="CP33:CP41" si="336">((CO33-$CB33)/1900)+($CB33/8760)</f>
        <v>302.40171232876708</v>
      </c>
      <c r="CQ33" s="42">
        <f t="shared" ref="CQ33:CQ41" si="337">((380*$CS33)/1000)/$AD33</f>
        <v>0.29716573992533335</v>
      </c>
      <c r="CR33" s="40" t="e">
        <f t="shared" ref="CR33:CR41" si="338">$CP33/$CU33</f>
        <v>#DIV/0!</v>
      </c>
      <c r="CS33" s="21">
        <f>CS23*6</f>
        <v>6418.7799823871992</v>
      </c>
      <c r="CT33" s="44">
        <v>3.05</v>
      </c>
      <c r="CU33" s="3"/>
      <c r="CV33" s="40">
        <f t="shared" ref="CV33:CV41" si="339">(34.4*365*$AD33)/1000</f>
        <v>103059.648</v>
      </c>
      <c r="CW33" s="40">
        <v>15</v>
      </c>
      <c r="CX33" s="40">
        <f t="shared" ref="CX33:CX41" si="340">$AD33*CW33+($CW33)</f>
        <v>123135</v>
      </c>
      <c r="CY33" s="41">
        <f t="shared" ref="CY33:CY41" si="341">((CX33-$CW33)/1900)+($CW33/8760)</f>
        <v>64.801712328767124</v>
      </c>
      <c r="CZ33" s="42">
        <f t="shared" ref="CZ33:CZ41" si="342">((380*$DB33)/1000)/$AD33</f>
        <v>3.0998256439253327</v>
      </c>
      <c r="DA33" s="40" t="e">
        <f t="shared" ref="DA33:DA41" si="343">$CY33/$DP33</f>
        <v>#DIV/0!</v>
      </c>
      <c r="DB33" s="21">
        <f>DB23*6</f>
        <v>66956.233908787195</v>
      </c>
      <c r="DC33" s="43">
        <v>30</v>
      </c>
      <c r="DD33" s="40">
        <f t="shared" ref="DD33:DD41" si="344">$AD33*DC33+($CW33)</f>
        <v>246255</v>
      </c>
      <c r="DE33" s="41">
        <f t="shared" ref="DE33:DE41" si="345">((DD33-$CW33)/1900)+($CW33/8760)</f>
        <v>129.60171232876712</v>
      </c>
      <c r="DF33" s="42">
        <f t="shared" ref="DF33:DF41" si="346">((380*$DH33)/1000)/$AD33</f>
        <v>3.1379503627626666</v>
      </c>
      <c r="DG33" s="40" t="e">
        <f t="shared" ref="DG33:DG41" si="347">$DE33/$DP33</f>
        <v>#DIV/0!</v>
      </c>
      <c r="DH33" s="21">
        <f>DH23*6</f>
        <v>67779.727835673606</v>
      </c>
      <c r="DI33" s="43">
        <v>70</v>
      </c>
      <c r="DJ33" s="40">
        <f t="shared" ref="DJ33:DJ41" si="348">$AD33*DI33+($CW33)</f>
        <v>574575</v>
      </c>
      <c r="DK33" s="41">
        <f t="shared" ref="DK33:DK41" si="349">((DJ33-$CW33)/1900)+($CW33/8760)</f>
        <v>302.40171232876708</v>
      </c>
      <c r="DL33" s="42">
        <f t="shared" ref="DL33:DL41" si="350">((380*$DN33)/1000)/$AD33</f>
        <v>3.2394791823840006</v>
      </c>
      <c r="DM33" s="40" t="e">
        <f t="shared" ref="DM33:DM41" si="351">$DK33/$DP33</f>
        <v>#DIV/0!</v>
      </c>
      <c r="DN33" s="21">
        <f>DN23*6</f>
        <v>69972.750339494407</v>
      </c>
      <c r="DO33" s="44">
        <v>3.9</v>
      </c>
      <c r="DP33" s="7"/>
      <c r="DQ33" s="40">
        <f t="shared" ref="DQ33:DQ41" si="352">(34.4*365*$AD33)/1000</f>
        <v>103059.648</v>
      </c>
      <c r="DR33" s="40">
        <v>15</v>
      </c>
      <c r="DS33" s="40">
        <f t="shared" ref="DS33:DS41" si="353">$AD33*DR33+($DR33)</f>
        <v>123135</v>
      </c>
      <c r="DT33" s="41">
        <f t="shared" ref="DT33:DT41" si="354">((DS33-$DR33)/1900)+($DR33/8760)</f>
        <v>64.801712328767124</v>
      </c>
      <c r="DU33" s="42">
        <f t="shared" ref="DU33:DU41" si="355">((201*$DW33)/1000)/$AD33</f>
        <v>0.15603632556719998</v>
      </c>
      <c r="DV33" s="40">
        <f t="shared" ref="DV33:DV41" si="356">$DT33/0.9</f>
        <v>72.001902587519027</v>
      </c>
      <c r="DW33" s="21">
        <f>DW23*6</f>
        <v>6371.8714440575995</v>
      </c>
      <c r="DX33" s="43">
        <v>30</v>
      </c>
      <c r="DY33" s="40">
        <f t="shared" ref="DY33:DY41" si="357">$AD33*DX33+($DR33)</f>
        <v>246255</v>
      </c>
      <c r="DZ33" s="41">
        <f t="shared" ref="DZ33:DZ41" si="358">((DY33-$DR33)/1900)+($DR33/8760)</f>
        <v>129.60171232876712</v>
      </c>
      <c r="EA33" s="42">
        <f t="shared" ref="EA33:EA41" si="359">((201*$EC33)/1000)/$AD33</f>
        <v>0.16403326198720003</v>
      </c>
      <c r="EB33" s="40">
        <f t="shared" ref="EB33:EB41" si="360">$DZ33/0.9</f>
        <v>144.00190258751903</v>
      </c>
      <c r="EC33" s="21">
        <f>EC23*6</f>
        <v>6698.4329074176003</v>
      </c>
      <c r="ED33" s="43">
        <v>70</v>
      </c>
      <c r="EE33" s="40">
        <f t="shared" ref="EE33:EE41" si="361">$AD33*ED33+($DR33)</f>
        <v>574575</v>
      </c>
      <c r="EF33" s="41">
        <f t="shared" ref="EF33:EF41" si="362">((EE33-$DR33)/1900)+($DR33/8760)</f>
        <v>302.40171232876708</v>
      </c>
      <c r="EG33" s="42">
        <f t="shared" ref="EG33:EG41" si="363">((201*$EI33)/1000)/$AD33</f>
        <v>0.18542394615480001</v>
      </c>
      <c r="EH33" s="40">
        <f t="shared" ref="EH33:EH41" si="364">$EF33/0.9</f>
        <v>336.00190258751894</v>
      </c>
      <c r="EI33" s="21">
        <f>EI23*6</f>
        <v>7571.9390549184</v>
      </c>
      <c r="EJ33" s="44">
        <v>3.9</v>
      </c>
    </row>
    <row r="34" spans="1:140">
      <c r="A34" s="18" t="str">
        <f t="shared" si="0"/>
        <v>DgSc</v>
      </c>
      <c r="B34" s="19">
        <v>201</v>
      </c>
      <c r="C34" s="18" t="s">
        <v>86</v>
      </c>
      <c r="D34" s="18" t="s">
        <v>76</v>
      </c>
      <c r="E34" s="18" t="s">
        <v>84</v>
      </c>
      <c r="F34" s="3"/>
      <c r="G34" s="21">
        <v>60000</v>
      </c>
      <c r="H34" s="21">
        <f t="shared" ref="H34:M34" si="365">(H24*4)+(H23*2)</f>
        <v>48450</v>
      </c>
      <c r="I34" s="21">
        <f t="shared" si="365"/>
        <v>4728</v>
      </c>
      <c r="J34" s="21">
        <f t="shared" si="365"/>
        <v>4102</v>
      </c>
      <c r="K34" s="21">
        <f t="shared" si="365"/>
        <v>2720</v>
      </c>
      <c r="L34" s="21">
        <f t="shared" si="365"/>
        <v>6840</v>
      </c>
      <c r="M34" s="21">
        <f t="shared" si="365"/>
        <v>1080</v>
      </c>
      <c r="N34" s="23">
        <f t="shared" si="301"/>
        <v>0.13200000000000001</v>
      </c>
      <c r="O34" s="177"/>
      <c r="P34" s="178"/>
      <c r="Q34" s="45">
        <f>Q23*2+Q24*4</f>
        <v>3420</v>
      </c>
      <c r="R34" s="21">
        <f t="shared" si="302"/>
        <v>2736</v>
      </c>
      <c r="S34" s="21">
        <f t="shared" si="4"/>
        <v>10260</v>
      </c>
      <c r="T34" s="3"/>
      <c r="U34" s="26">
        <f t="shared" si="303"/>
        <v>7920</v>
      </c>
      <c r="V34" s="27">
        <f t="shared" si="304"/>
        <v>0.13200000000000001</v>
      </c>
      <c r="W34" s="108">
        <f t="shared" si="305"/>
        <v>0.189</v>
      </c>
      <c r="X34" s="32"/>
      <c r="Y34" s="29">
        <v>1.5</v>
      </c>
      <c r="Z34" s="26">
        <f t="shared" si="306"/>
        <v>11340</v>
      </c>
      <c r="AA34" s="26">
        <f t="shared" si="307"/>
        <v>9072</v>
      </c>
      <c r="AB34" s="26">
        <f t="shared" si="308"/>
        <v>13680</v>
      </c>
      <c r="AC34" s="21">
        <f>(AC24*4)+(AC23*2)</f>
        <v>10944</v>
      </c>
      <c r="AD34" s="26">
        <f t="shared" si="309"/>
        <v>8208</v>
      </c>
      <c r="AE34" s="26">
        <f t="shared" si="227"/>
        <v>180</v>
      </c>
      <c r="AF34" s="26">
        <f t="shared" si="310"/>
        <v>8028</v>
      </c>
      <c r="AG34" s="30"/>
      <c r="AH34" s="26">
        <f t="shared" si="14"/>
        <v>6840</v>
      </c>
      <c r="AI34" s="45">
        <f t="shared" ref="AI34:AJ34" si="366">(AI23*2)+(AI24*4)</f>
        <v>8884.8000000000011</v>
      </c>
      <c r="AJ34" s="45">
        <f t="shared" si="366"/>
        <v>8316</v>
      </c>
      <c r="AK34" s="26">
        <f t="shared" ref="AK34:AK38" si="367">SUM(AH34:AJ34)</f>
        <v>24040.800000000003</v>
      </c>
      <c r="AL34" s="26">
        <f>AL23*2+AL24*4</f>
        <v>38250</v>
      </c>
      <c r="AM34" s="31">
        <f t="shared" si="312"/>
        <v>0.62851764705882363</v>
      </c>
      <c r="AN34" s="3"/>
      <c r="AO34" s="21">
        <f t="shared" ref="AO34:AP34" si="368">AO23*2+AO24*4</f>
        <v>800</v>
      </c>
      <c r="AP34" s="33">
        <f t="shared" si="368"/>
        <v>900</v>
      </c>
      <c r="AQ34" s="26">
        <f t="shared" si="314"/>
        <v>1700</v>
      </c>
      <c r="AR34" s="3"/>
      <c r="AS34" s="21">
        <f>(AS24*4)+(AS23*2)</f>
        <v>36</v>
      </c>
      <c r="AT34" s="3"/>
      <c r="AU34" s="26">
        <v>47</v>
      </c>
      <c r="AV34" s="26">
        <v>152</v>
      </c>
      <c r="AW34" s="26">
        <v>190</v>
      </c>
      <c r="AX34" s="35">
        <f t="shared" ref="AX34:AY34" si="369">AX23*2+AX24*4</f>
        <v>174.63829787234042</v>
      </c>
      <c r="AY34" s="35">
        <f t="shared" si="369"/>
        <v>72</v>
      </c>
      <c r="AZ34" s="35">
        <f t="shared" si="316"/>
        <v>27.07309941520468</v>
      </c>
      <c r="BA34" s="35">
        <f t="shared" si="317"/>
        <v>65.666666666666671</v>
      </c>
      <c r="BB34" s="3"/>
      <c r="BC34" s="36" t="s">
        <v>78</v>
      </c>
      <c r="BD34" s="26">
        <f t="shared" si="318"/>
        <v>6840</v>
      </c>
      <c r="BE34" s="21">
        <f t="shared" ref="BE34:BF34" si="370">(BE24*4)+(BE23*2)</f>
        <v>8136</v>
      </c>
      <c r="BF34" s="21" t="e" vm="2">
        <f t="shared" si="370"/>
        <v>#VALUE!</v>
      </c>
      <c r="BG34" s="26" t="e" vm="2">
        <f t="shared" si="320"/>
        <v>#VALUE!</v>
      </c>
      <c r="BH34" s="26">
        <f t="shared" si="321"/>
        <v>3420</v>
      </c>
      <c r="BI34" s="21" t="e" vm="2">
        <f t="shared" ref="BI34:BJ34" si="371">(BI24*4)+(BI23*2)</f>
        <v>#VALUE!</v>
      </c>
      <c r="BJ34" s="21">
        <f t="shared" si="371"/>
        <v>108</v>
      </c>
      <c r="BK34" s="106">
        <v>0.2</v>
      </c>
      <c r="BL34" s="21">
        <f t="shared" ref="BL34:BR34" si="372">(BL24*4)+(BL23*2)</f>
        <v>1641.6000000000001</v>
      </c>
      <c r="BM34" s="21">
        <f t="shared" si="372"/>
        <v>2707.2000000000003</v>
      </c>
      <c r="BN34" s="21">
        <f t="shared" si="372"/>
        <v>6408</v>
      </c>
      <c r="BO34" s="21">
        <f t="shared" si="372"/>
        <v>432</v>
      </c>
      <c r="BP34" s="21">
        <f t="shared" si="372"/>
        <v>4716</v>
      </c>
      <c r="BQ34" s="21">
        <f t="shared" si="372"/>
        <v>36</v>
      </c>
      <c r="BR34" s="21" t="e" vm="2">
        <f t="shared" si="372"/>
        <v>#VALUE!</v>
      </c>
      <c r="BS34" s="26"/>
      <c r="BT34" s="21">
        <f t="shared" ref="BT34:BW34" si="373">(BT24*4)+(BT23*2)</f>
        <v>2462.3999999999996</v>
      </c>
      <c r="BU34" s="21">
        <f t="shared" si="373"/>
        <v>48180.959999999999</v>
      </c>
      <c r="BV34" s="21">
        <f t="shared" si="373"/>
        <v>4104</v>
      </c>
      <c r="BW34" s="21">
        <f t="shared" si="373"/>
        <v>2016</v>
      </c>
      <c r="BX34" s="26"/>
      <c r="BY34" s="26">
        <f t="shared" si="325"/>
        <v>0</v>
      </c>
      <c r="BZ34" s="3"/>
      <c r="CA34" s="40">
        <f t="shared" si="326"/>
        <v>103059.648</v>
      </c>
      <c r="CB34" s="40">
        <v>15</v>
      </c>
      <c r="CC34" s="40">
        <f t="shared" si="327"/>
        <v>123135</v>
      </c>
      <c r="CD34" s="41">
        <f t="shared" si="328"/>
        <v>64.801712328767124</v>
      </c>
      <c r="CE34" s="42">
        <f t="shared" si="329"/>
        <v>0.20588433348799998</v>
      </c>
      <c r="CF34" s="40" t="e">
        <f t="shared" si="330"/>
        <v>#DIV/0!</v>
      </c>
      <c r="CG34" s="21">
        <f>(CG24*4)+(CG23*2)</f>
        <v>4447.1016033407996</v>
      </c>
      <c r="CH34" s="43">
        <v>30</v>
      </c>
      <c r="CI34" s="40">
        <f t="shared" si="331"/>
        <v>246255</v>
      </c>
      <c r="CJ34" s="41">
        <f t="shared" si="332"/>
        <v>129.60171232876712</v>
      </c>
      <c r="CK34" s="42">
        <f t="shared" si="333"/>
        <v>0.23081665266933332</v>
      </c>
      <c r="CL34" s="40" t="e">
        <f t="shared" si="334"/>
        <v>#DIV/0!</v>
      </c>
      <c r="CM34" s="21">
        <f>(CM24*4)+(CM23*2)</f>
        <v>4985.6396976575998</v>
      </c>
      <c r="CN34" s="43">
        <v>70</v>
      </c>
      <c r="CO34" s="40">
        <f t="shared" si="335"/>
        <v>574575</v>
      </c>
      <c r="CP34" s="41">
        <f t="shared" si="336"/>
        <v>302.40171232876708</v>
      </c>
      <c r="CQ34" s="42">
        <f t="shared" si="337"/>
        <v>0.29716573992533335</v>
      </c>
      <c r="CR34" s="40" t="e">
        <f t="shared" si="338"/>
        <v>#DIV/0!</v>
      </c>
      <c r="CS34" s="21">
        <f>(CS24*4)+(CS23*2)</f>
        <v>6418.7799823871992</v>
      </c>
      <c r="CT34" s="44">
        <v>3.05</v>
      </c>
      <c r="CU34" s="3"/>
      <c r="CV34" s="40">
        <f t="shared" si="339"/>
        <v>103059.648</v>
      </c>
      <c r="CW34" s="40">
        <v>15</v>
      </c>
      <c r="CX34" s="40">
        <f t="shared" si="340"/>
        <v>123135</v>
      </c>
      <c r="CY34" s="41">
        <f t="shared" si="341"/>
        <v>64.801712328767124</v>
      </c>
      <c r="CZ34" s="42">
        <f t="shared" si="342"/>
        <v>3.0441056177866663</v>
      </c>
      <c r="DA34" s="40" t="e">
        <f t="shared" si="343"/>
        <v>#DIV/0!</v>
      </c>
      <c r="DB34" s="21">
        <f>(DB24*4)+(DB23*2)</f>
        <v>65752.681344191995</v>
      </c>
      <c r="DC34" s="43">
        <v>30</v>
      </c>
      <c r="DD34" s="40">
        <f t="shared" si="344"/>
        <v>246255</v>
      </c>
      <c r="DE34" s="41">
        <f t="shared" si="345"/>
        <v>129.60171232876712</v>
      </c>
      <c r="DF34" s="42">
        <f t="shared" si="346"/>
        <v>3.0822303366240003</v>
      </c>
      <c r="DG34" s="40" t="e">
        <f t="shared" si="347"/>
        <v>#DIV/0!</v>
      </c>
      <c r="DH34" s="21">
        <f>(DH24*4)+(DH23*2)</f>
        <v>66576.175271078406</v>
      </c>
      <c r="DI34" s="43">
        <v>70</v>
      </c>
      <c r="DJ34" s="40">
        <f t="shared" si="348"/>
        <v>574575</v>
      </c>
      <c r="DK34" s="41">
        <f t="shared" si="349"/>
        <v>302.40171232876708</v>
      </c>
      <c r="DL34" s="42">
        <f t="shared" si="350"/>
        <v>3.1837591562453333</v>
      </c>
      <c r="DM34" s="40" t="e">
        <f t="shared" si="351"/>
        <v>#DIV/0!</v>
      </c>
      <c r="DN34" s="21">
        <f>(DN24*4)+(DN23*2)</f>
        <v>68769.197774899207</v>
      </c>
      <c r="DO34" s="44">
        <v>3.9</v>
      </c>
      <c r="DP34" s="7"/>
      <c r="DQ34" s="40">
        <f t="shared" si="352"/>
        <v>103059.648</v>
      </c>
      <c r="DR34" s="40">
        <v>15</v>
      </c>
      <c r="DS34" s="40">
        <f t="shared" si="353"/>
        <v>123135</v>
      </c>
      <c r="DT34" s="41">
        <f t="shared" si="354"/>
        <v>64.801712328767124</v>
      </c>
      <c r="DU34" s="42">
        <f t="shared" si="355"/>
        <v>0.15442223003226666</v>
      </c>
      <c r="DV34" s="40">
        <f t="shared" si="356"/>
        <v>72.001902587519027</v>
      </c>
      <c r="DW34" s="21">
        <f>(DW24*4)+(DW23*2)</f>
        <v>6305.9585278847999</v>
      </c>
      <c r="DX34" s="43">
        <v>30</v>
      </c>
      <c r="DY34" s="40">
        <f t="shared" si="357"/>
        <v>246255</v>
      </c>
      <c r="DZ34" s="41">
        <f t="shared" si="358"/>
        <v>129.60171232876712</v>
      </c>
      <c r="EA34" s="42">
        <f t="shared" si="359"/>
        <v>0.1624191664522667</v>
      </c>
      <c r="EB34" s="40">
        <f t="shared" si="360"/>
        <v>144.00190258751903</v>
      </c>
      <c r="EC34" s="21">
        <f>(EC24*4)+(EC23*2)</f>
        <v>6632.5199912448006</v>
      </c>
      <c r="ED34" s="43">
        <v>70</v>
      </c>
      <c r="EE34" s="40">
        <f t="shared" si="361"/>
        <v>574575</v>
      </c>
      <c r="EF34" s="41">
        <f t="shared" si="362"/>
        <v>302.40171232876708</v>
      </c>
      <c r="EG34" s="42">
        <f t="shared" si="363"/>
        <v>0.18380985061986665</v>
      </c>
      <c r="EH34" s="40">
        <f t="shared" si="364"/>
        <v>336.00190258751894</v>
      </c>
      <c r="EI34" s="21">
        <f>(EI24*4)+(EI23*2)</f>
        <v>7506.0261387455994</v>
      </c>
      <c r="EJ34" s="44">
        <v>3.9</v>
      </c>
    </row>
    <row r="35" spans="1:140">
      <c r="A35" s="18" t="str">
        <f t="shared" si="0"/>
        <v>DgSa</v>
      </c>
      <c r="B35" s="19">
        <v>202</v>
      </c>
      <c r="C35" s="18" t="s">
        <v>86</v>
      </c>
      <c r="D35" s="18" t="s">
        <v>76</v>
      </c>
      <c r="E35" s="18" t="s">
        <v>85</v>
      </c>
      <c r="F35" s="3"/>
      <c r="G35" s="21">
        <v>60000</v>
      </c>
      <c r="H35" s="21">
        <f t="shared" ref="H35:M35" si="374">(H25*4)+(H23*2)</f>
        <v>48422</v>
      </c>
      <c r="I35" s="21">
        <f t="shared" si="374"/>
        <v>5384</v>
      </c>
      <c r="J35" s="21">
        <f t="shared" si="374"/>
        <v>3554</v>
      </c>
      <c r="K35" s="21">
        <f t="shared" si="374"/>
        <v>2640</v>
      </c>
      <c r="L35" s="21">
        <f t="shared" si="374"/>
        <v>6080</v>
      </c>
      <c r="M35" s="21">
        <f t="shared" si="374"/>
        <v>960</v>
      </c>
      <c r="N35" s="23">
        <f t="shared" si="301"/>
        <v>0.11733333333333333</v>
      </c>
      <c r="O35" s="179"/>
      <c r="P35" s="180"/>
      <c r="Q35" s="21">
        <f>Q23*2+Q25*4</f>
        <v>3040</v>
      </c>
      <c r="R35" s="21">
        <f t="shared" si="302"/>
        <v>2432</v>
      </c>
      <c r="S35" s="21">
        <f t="shared" si="4"/>
        <v>9120</v>
      </c>
      <c r="T35" s="3"/>
      <c r="U35" s="26">
        <f t="shared" si="303"/>
        <v>7040</v>
      </c>
      <c r="V35" s="27">
        <f t="shared" si="304"/>
        <v>0.11733333333333333</v>
      </c>
      <c r="W35" s="108">
        <f t="shared" si="305"/>
        <v>0.16800000000000001</v>
      </c>
      <c r="X35" s="32"/>
      <c r="Y35" s="29">
        <v>1.5</v>
      </c>
      <c r="Z35" s="26">
        <f t="shared" si="306"/>
        <v>10080</v>
      </c>
      <c r="AA35" s="26">
        <f t="shared" si="307"/>
        <v>8064</v>
      </c>
      <c r="AB35" s="26">
        <f t="shared" si="308"/>
        <v>12160</v>
      </c>
      <c r="AC35" s="21">
        <f>(AC25*4)+(AC23*2)</f>
        <v>9728</v>
      </c>
      <c r="AD35" s="26">
        <f t="shared" si="309"/>
        <v>7296</v>
      </c>
      <c r="AE35" s="26">
        <f t="shared" si="227"/>
        <v>160</v>
      </c>
      <c r="AF35" s="26">
        <f t="shared" si="310"/>
        <v>7136</v>
      </c>
      <c r="AG35" s="30"/>
      <c r="AH35" s="26">
        <f t="shared" si="14"/>
        <v>6080</v>
      </c>
      <c r="AI35" s="45">
        <f t="shared" ref="AI35:AJ35" si="375">(AI23*2)+(AI25*4)</f>
        <v>7897.6</v>
      </c>
      <c r="AJ35" s="45">
        <f t="shared" si="375"/>
        <v>7392</v>
      </c>
      <c r="AK35" s="26">
        <f t="shared" si="367"/>
        <v>21369.599999999999</v>
      </c>
      <c r="AL35" s="26">
        <f>AL23*2+AL25*4</f>
        <v>34000</v>
      </c>
      <c r="AM35" s="31">
        <f t="shared" si="312"/>
        <v>0.62851764705882351</v>
      </c>
      <c r="AN35" s="3"/>
      <c r="AO35" s="21">
        <f t="shared" ref="AO35:AP35" si="376">AO23*2+AO25*4</f>
        <v>760</v>
      </c>
      <c r="AP35" s="33">
        <f t="shared" si="376"/>
        <v>800</v>
      </c>
      <c r="AQ35" s="26">
        <f t="shared" si="314"/>
        <v>1560</v>
      </c>
      <c r="AR35" s="3"/>
      <c r="AS35" s="21">
        <f>(AS25*4)+(AS23*2)</f>
        <v>32</v>
      </c>
      <c r="AT35" s="3"/>
      <c r="AU35" s="26">
        <v>47</v>
      </c>
      <c r="AV35" s="26">
        <v>152</v>
      </c>
      <c r="AW35" s="26">
        <v>190</v>
      </c>
      <c r="AX35" s="35">
        <f t="shared" ref="AX35:AY35" si="377">AX23*2+AX25*4</f>
        <v>155.2340425531915</v>
      </c>
      <c r="AY35" s="35">
        <f t="shared" si="377"/>
        <v>64</v>
      </c>
      <c r="AZ35" s="35">
        <f t="shared" si="316"/>
        <v>34.683114035087719</v>
      </c>
      <c r="BA35" s="35">
        <f t="shared" si="317"/>
        <v>84.125</v>
      </c>
      <c r="BB35" s="3"/>
      <c r="BC35" s="36" t="s">
        <v>78</v>
      </c>
      <c r="BD35" s="26">
        <f t="shared" si="318"/>
        <v>6080</v>
      </c>
      <c r="BE35" s="21">
        <f t="shared" ref="BE35:BF35" si="378">(BE25*4)+(BE23*2)</f>
        <v>7232</v>
      </c>
      <c r="BF35" s="21" t="e" vm="2">
        <f t="shared" si="378"/>
        <v>#VALUE!</v>
      </c>
      <c r="BG35" s="26" t="e" vm="2">
        <f t="shared" si="320"/>
        <v>#VALUE!</v>
      </c>
      <c r="BH35" s="26">
        <f t="shared" si="321"/>
        <v>3040</v>
      </c>
      <c r="BI35" s="21" t="e" vm="2">
        <f t="shared" ref="BI35:BJ35" si="379">(BI25*4)+(BI23*2)</f>
        <v>#VALUE!</v>
      </c>
      <c r="BJ35" s="21">
        <f t="shared" si="379"/>
        <v>96</v>
      </c>
      <c r="BK35" s="106">
        <v>0.2</v>
      </c>
      <c r="BL35" s="21">
        <f t="shared" ref="BL35:BR35" si="380">(BL25*4)+(BL23*2)</f>
        <v>1459.2</v>
      </c>
      <c r="BM35" s="21">
        <f t="shared" si="380"/>
        <v>2406.4</v>
      </c>
      <c r="BN35" s="21">
        <f t="shared" si="380"/>
        <v>5696</v>
      </c>
      <c r="BO35" s="21">
        <f t="shared" si="380"/>
        <v>384</v>
      </c>
      <c r="BP35" s="21">
        <f t="shared" si="380"/>
        <v>4192</v>
      </c>
      <c r="BQ35" s="21">
        <f t="shared" si="380"/>
        <v>32</v>
      </c>
      <c r="BR35" s="21" t="e" vm="2">
        <f t="shared" si="380"/>
        <v>#VALUE!</v>
      </c>
      <c r="BS35" s="26"/>
      <c r="BT35" s="21">
        <f t="shared" ref="BT35:BW35" si="381">(BT25*4)+(BT23*2)</f>
        <v>2188.8000000000002</v>
      </c>
      <c r="BU35" s="21">
        <f t="shared" si="381"/>
        <v>42827.520000000004</v>
      </c>
      <c r="BV35" s="21">
        <f t="shared" si="381"/>
        <v>3648</v>
      </c>
      <c r="BW35" s="21">
        <f t="shared" si="381"/>
        <v>1792</v>
      </c>
      <c r="BX35" s="26"/>
      <c r="BY35" s="26">
        <f t="shared" si="325"/>
        <v>0</v>
      </c>
      <c r="BZ35" s="3"/>
      <c r="CA35" s="40">
        <f t="shared" si="326"/>
        <v>91608.576000000001</v>
      </c>
      <c r="CB35" s="40">
        <v>15</v>
      </c>
      <c r="CC35" s="40">
        <f t="shared" si="327"/>
        <v>109455</v>
      </c>
      <c r="CD35" s="41">
        <f t="shared" si="328"/>
        <v>57.601712328767128</v>
      </c>
      <c r="CE35" s="42">
        <f t="shared" si="329"/>
        <v>0.20590579101133336</v>
      </c>
      <c r="CF35" s="40" t="e">
        <f t="shared" si="330"/>
        <v>#DIV/0!</v>
      </c>
      <c r="CG35" s="21">
        <f>(CG25*4)+(CG23*2)</f>
        <v>3953.3911874176001</v>
      </c>
      <c r="CH35" s="43">
        <v>30</v>
      </c>
      <c r="CI35" s="40">
        <f t="shared" si="331"/>
        <v>218895</v>
      </c>
      <c r="CJ35" s="41">
        <f t="shared" si="332"/>
        <v>115.20171232876713</v>
      </c>
      <c r="CK35" s="42">
        <f t="shared" si="333"/>
        <v>0.23083811019266667</v>
      </c>
      <c r="CL35" s="40" t="e">
        <f t="shared" si="334"/>
        <v>#DIV/0!</v>
      </c>
      <c r="CM35" s="21">
        <f>(CM25*4)+(CM23*2)</f>
        <v>4432.0917156992</v>
      </c>
      <c r="CN35" s="43">
        <v>70</v>
      </c>
      <c r="CO35" s="40">
        <f t="shared" si="335"/>
        <v>510735</v>
      </c>
      <c r="CP35" s="41">
        <f t="shared" si="336"/>
        <v>268.80171232876711</v>
      </c>
      <c r="CQ35" s="42">
        <f t="shared" si="337"/>
        <v>0.29718719744866667</v>
      </c>
      <c r="CR35" s="40" t="e">
        <f t="shared" si="338"/>
        <v>#DIV/0!</v>
      </c>
      <c r="CS35" s="21">
        <f>(CS25*4)+(CS23*2)</f>
        <v>5705.9941910144007</v>
      </c>
      <c r="CT35" s="44">
        <v>3.05</v>
      </c>
      <c r="CU35" s="3"/>
      <c r="CV35" s="40">
        <f t="shared" si="339"/>
        <v>91608.576000000001</v>
      </c>
      <c r="CW35" s="40">
        <v>15</v>
      </c>
      <c r="CX35" s="40">
        <f t="shared" si="340"/>
        <v>109455</v>
      </c>
      <c r="CY35" s="41">
        <f t="shared" si="341"/>
        <v>57.601712328767128</v>
      </c>
      <c r="CZ35" s="42">
        <f t="shared" si="342"/>
        <v>3.0518127609336667</v>
      </c>
      <c r="DA35" s="40" t="e">
        <f t="shared" si="343"/>
        <v>#DIV/0!</v>
      </c>
      <c r="DB35" s="21">
        <f>(DB25*4)+(DB23*2)</f>
        <v>58594.805009926393</v>
      </c>
      <c r="DC35" s="43">
        <v>30</v>
      </c>
      <c r="DD35" s="40">
        <f t="shared" si="344"/>
        <v>218895</v>
      </c>
      <c r="DE35" s="41">
        <f t="shared" si="345"/>
        <v>115.20171232876713</v>
      </c>
      <c r="DF35" s="42">
        <f t="shared" si="346"/>
        <v>3.0899374797710002</v>
      </c>
      <c r="DG35" s="40" t="e">
        <f t="shared" si="347"/>
        <v>#DIV/0!</v>
      </c>
      <c r="DH35" s="21">
        <f>(DH25*4)+(DH23*2)</f>
        <v>59326.799611603201</v>
      </c>
      <c r="DI35" s="43">
        <v>70</v>
      </c>
      <c r="DJ35" s="40">
        <f t="shared" si="348"/>
        <v>510735</v>
      </c>
      <c r="DK35" s="41">
        <f t="shared" si="349"/>
        <v>268.80171232876711</v>
      </c>
      <c r="DL35" s="42">
        <f t="shared" si="350"/>
        <v>3.1914662993923337</v>
      </c>
      <c r="DM35" s="40" t="e">
        <f t="shared" si="351"/>
        <v>#DIV/0!</v>
      </c>
      <c r="DN35" s="21">
        <f>(DN25*4)+(DN23*2)</f>
        <v>61276.152948332805</v>
      </c>
      <c r="DO35" s="44">
        <v>3.9</v>
      </c>
      <c r="DP35" s="7"/>
      <c r="DQ35" s="40">
        <f t="shared" si="352"/>
        <v>91608.576000000001</v>
      </c>
      <c r="DR35" s="40">
        <v>15</v>
      </c>
      <c r="DS35" s="40">
        <f t="shared" si="353"/>
        <v>109455</v>
      </c>
      <c r="DT35" s="41">
        <f t="shared" si="354"/>
        <v>57.601712328767128</v>
      </c>
      <c r="DU35" s="42">
        <f t="shared" si="355"/>
        <v>0.15464416660319999</v>
      </c>
      <c r="DV35" s="40">
        <f t="shared" si="356"/>
        <v>64.001902587519027</v>
      </c>
      <c r="DW35" s="21">
        <f>(DW25*4)+(DW23*2)</f>
        <v>5613.3524355071995</v>
      </c>
      <c r="DX35" s="43">
        <v>30</v>
      </c>
      <c r="DY35" s="40">
        <f t="shared" si="357"/>
        <v>218895</v>
      </c>
      <c r="DZ35" s="41">
        <f t="shared" si="358"/>
        <v>115.20171232876713</v>
      </c>
      <c r="EA35" s="42">
        <f t="shared" si="359"/>
        <v>0.16264110302320001</v>
      </c>
      <c r="EB35" s="40">
        <f t="shared" si="360"/>
        <v>128.00190258751903</v>
      </c>
      <c r="EC35" s="21">
        <f>(EC25*4)+(EC23*2)</f>
        <v>5903.6292918272002</v>
      </c>
      <c r="ED35" s="43">
        <v>70</v>
      </c>
      <c r="EE35" s="40">
        <f t="shared" si="361"/>
        <v>510735</v>
      </c>
      <c r="EF35" s="41">
        <f t="shared" si="362"/>
        <v>268.80171232876711</v>
      </c>
      <c r="EG35" s="42">
        <f t="shared" si="363"/>
        <v>0.18403178719080002</v>
      </c>
      <c r="EH35" s="40">
        <f t="shared" si="364"/>
        <v>298.66856925418568</v>
      </c>
      <c r="EI35" s="21">
        <f>(EI25*4)+(EI23*2)</f>
        <v>6680.0792007168002</v>
      </c>
      <c r="EJ35" s="44">
        <v>3.9</v>
      </c>
    </row>
    <row r="36" spans="1:140">
      <c r="A36" s="48" t="str">
        <f t="shared" si="0"/>
        <v>DmGi</v>
      </c>
      <c r="B36" s="49">
        <v>210</v>
      </c>
      <c r="C36" s="48" t="s">
        <v>86</v>
      </c>
      <c r="D36" s="48" t="s">
        <v>81</v>
      </c>
      <c r="E36" s="48" t="s">
        <v>83</v>
      </c>
      <c r="F36" s="3"/>
      <c r="G36" s="50">
        <v>60000</v>
      </c>
      <c r="H36" s="50">
        <f t="shared" ref="H36:M36" si="382">H26*6</f>
        <v>43350</v>
      </c>
      <c r="I36" s="50">
        <f t="shared" si="382"/>
        <v>6984</v>
      </c>
      <c r="J36" s="50">
        <f t="shared" si="382"/>
        <v>5586</v>
      </c>
      <c r="K36" s="50">
        <f t="shared" si="382"/>
        <v>4080</v>
      </c>
      <c r="L36" s="50">
        <f t="shared" si="382"/>
        <v>9120</v>
      </c>
      <c r="M36" s="50">
        <f t="shared" si="382"/>
        <v>1440</v>
      </c>
      <c r="N36" s="107">
        <f t="shared" si="301"/>
        <v>0.17599999999999999</v>
      </c>
      <c r="O36" s="54"/>
      <c r="P36" s="178"/>
      <c r="Q36" s="50">
        <f>Q26*6</f>
        <v>4560</v>
      </c>
      <c r="R36" s="52">
        <f t="shared" si="302"/>
        <v>3648</v>
      </c>
      <c r="S36" s="52">
        <f t="shared" si="4"/>
        <v>13680</v>
      </c>
      <c r="T36" s="3"/>
      <c r="U36" s="55">
        <f t="shared" si="303"/>
        <v>10560</v>
      </c>
      <c r="V36" s="56">
        <f t="shared" si="304"/>
        <v>0.17599999999999999</v>
      </c>
      <c r="W36" s="110">
        <f t="shared" si="305"/>
        <v>0.32800000000000001</v>
      </c>
      <c r="X36" s="113"/>
      <c r="Y36" s="57">
        <v>2</v>
      </c>
      <c r="Z36" s="58">
        <f t="shared" si="306"/>
        <v>19680</v>
      </c>
      <c r="AA36" s="58">
        <f t="shared" si="307"/>
        <v>15744</v>
      </c>
      <c r="AB36" s="58">
        <f t="shared" si="308"/>
        <v>22800</v>
      </c>
      <c r="AC36" s="50">
        <f>AC26*6</f>
        <v>18240</v>
      </c>
      <c r="AD36" s="58">
        <f t="shared" si="309"/>
        <v>14592</v>
      </c>
      <c r="AE36" s="58">
        <f t="shared" si="227"/>
        <v>240</v>
      </c>
      <c r="AF36" s="58">
        <f t="shared" si="310"/>
        <v>14352</v>
      </c>
      <c r="AG36" s="30"/>
      <c r="AH36" s="58">
        <f t="shared" si="14"/>
        <v>9120</v>
      </c>
      <c r="AI36" s="50">
        <f t="shared" ref="AI36:AJ36" si="383">AI26*6</f>
        <v>9921.5999999999985</v>
      </c>
      <c r="AJ36" s="58">
        <f t="shared" si="383"/>
        <v>17606.400000000001</v>
      </c>
      <c r="AK36" s="58">
        <f t="shared" si="367"/>
        <v>36648</v>
      </c>
      <c r="AL36" s="58">
        <f>AL26*6</f>
        <v>67267.200000000012</v>
      </c>
      <c r="AM36" s="59">
        <f t="shared" si="312"/>
        <v>0.54481233052661615</v>
      </c>
      <c r="AN36" s="3"/>
      <c r="AO36" s="50">
        <f t="shared" ref="AO36:AP36" si="384">AO26*6</f>
        <v>1200</v>
      </c>
      <c r="AP36" s="60">
        <f t="shared" si="384"/>
        <v>1200</v>
      </c>
      <c r="AQ36" s="55">
        <f t="shared" si="314"/>
        <v>2400</v>
      </c>
      <c r="AR36" s="3"/>
      <c r="AS36" s="50">
        <f>AS26*6</f>
        <v>48</v>
      </c>
      <c r="AT36" s="3"/>
      <c r="AU36" s="58">
        <v>47</v>
      </c>
      <c r="AV36" s="58">
        <v>152</v>
      </c>
      <c r="AW36" s="58">
        <v>190</v>
      </c>
      <c r="AX36" s="62">
        <f t="shared" ref="AX36:AY36" si="385">AX26*6</f>
        <v>310.46808510638294</v>
      </c>
      <c r="AY36" s="62">
        <f t="shared" si="385"/>
        <v>96</v>
      </c>
      <c r="AZ36" s="62">
        <f t="shared" si="316"/>
        <v>22.495065789473689</v>
      </c>
      <c r="BA36" s="62">
        <f t="shared" si="317"/>
        <v>72.75</v>
      </c>
      <c r="BB36" s="3"/>
      <c r="BC36" s="63" t="s">
        <v>78</v>
      </c>
      <c r="BD36" s="58">
        <f t="shared" si="318"/>
        <v>9120</v>
      </c>
      <c r="BE36" s="50">
        <f t="shared" ref="BE36:BF36" si="386">BE26*6</f>
        <v>14448</v>
      </c>
      <c r="BF36" s="50" t="e" vm="2">
        <f t="shared" si="386"/>
        <v>#VALUE!</v>
      </c>
      <c r="BG36" s="58" t="e" vm="2">
        <f t="shared" si="320"/>
        <v>#VALUE!</v>
      </c>
      <c r="BH36" s="58">
        <f t="shared" si="321"/>
        <v>4560</v>
      </c>
      <c r="BI36" s="50" t="e" vm="2">
        <f t="shared" ref="BI36:BJ36" si="387">BI26*6</f>
        <v>#VALUE!</v>
      </c>
      <c r="BJ36" s="50">
        <f t="shared" si="387"/>
        <v>144</v>
      </c>
      <c r="BK36" s="64">
        <v>0.2</v>
      </c>
      <c r="BL36" s="50">
        <f t="shared" ref="BL36:BR36" si="388">BL26*6</f>
        <v>2918.4</v>
      </c>
      <c r="BM36" s="50">
        <f t="shared" si="388"/>
        <v>3609.6000000000004</v>
      </c>
      <c r="BN36" s="50">
        <f t="shared" si="388"/>
        <v>8544</v>
      </c>
      <c r="BO36" s="50">
        <f t="shared" si="388"/>
        <v>576</v>
      </c>
      <c r="BP36" s="50">
        <f t="shared" si="388"/>
        <v>9888</v>
      </c>
      <c r="BQ36" s="50">
        <f t="shared" si="388"/>
        <v>72</v>
      </c>
      <c r="BR36" s="50" t="e" vm="2">
        <f t="shared" si="388"/>
        <v>#VALUE!</v>
      </c>
      <c r="BS36" s="26"/>
      <c r="BT36" s="50">
        <f t="shared" ref="BT36:BW36" si="389">BT26*6</f>
        <v>4377.6000000000004</v>
      </c>
      <c r="BU36" s="50">
        <f t="shared" si="389"/>
        <v>85655.040000000008</v>
      </c>
      <c r="BV36" s="50">
        <f t="shared" si="389"/>
        <v>5472</v>
      </c>
      <c r="BW36" s="50">
        <f t="shared" si="389"/>
        <v>2688</v>
      </c>
      <c r="BX36" s="58"/>
      <c r="BY36" s="58">
        <f t="shared" si="325"/>
        <v>0</v>
      </c>
      <c r="BZ36" s="3"/>
      <c r="CA36" s="65">
        <f t="shared" si="326"/>
        <v>183217.152</v>
      </c>
      <c r="CB36" s="65">
        <v>15</v>
      </c>
      <c r="CC36" s="65">
        <f t="shared" si="327"/>
        <v>218895</v>
      </c>
      <c r="CD36" s="66">
        <f t="shared" si="328"/>
        <v>115.20171232876713</v>
      </c>
      <c r="CE36" s="67">
        <f t="shared" si="329"/>
        <v>0.19338045377999999</v>
      </c>
      <c r="CF36" s="65" t="e">
        <f t="shared" si="330"/>
        <v>#DIV/0!</v>
      </c>
      <c r="CG36" s="50">
        <f>CG26*6</f>
        <v>7425.8094251519997</v>
      </c>
      <c r="CH36" s="68">
        <v>30</v>
      </c>
      <c r="CI36" s="65">
        <f t="shared" si="331"/>
        <v>437775</v>
      </c>
      <c r="CJ36" s="66">
        <f t="shared" si="332"/>
        <v>230.40171232876713</v>
      </c>
      <c r="CK36" s="67">
        <f t="shared" si="333"/>
        <v>0.20441575010999999</v>
      </c>
      <c r="CL36" s="65" t="e">
        <f t="shared" si="334"/>
        <v>#DIV/0!</v>
      </c>
      <c r="CM36" s="50">
        <f>CM26*6</f>
        <v>7849.5648042239991</v>
      </c>
      <c r="CN36" s="68">
        <v>70</v>
      </c>
      <c r="CO36" s="65">
        <f t="shared" si="335"/>
        <v>1021455</v>
      </c>
      <c r="CP36" s="66">
        <f t="shared" si="336"/>
        <v>537.60171232876712</v>
      </c>
      <c r="CQ36" s="67">
        <f t="shared" si="337"/>
        <v>0.26006305693749998</v>
      </c>
      <c r="CR36" s="65" t="e">
        <f t="shared" si="338"/>
        <v>#DIV/0!</v>
      </c>
      <c r="CS36" s="50">
        <f>CS26*6</f>
        <v>9986.4213863999994</v>
      </c>
      <c r="CT36" s="69">
        <v>3.05</v>
      </c>
      <c r="CU36" s="3"/>
      <c r="CV36" s="65">
        <f t="shared" si="339"/>
        <v>183217.152</v>
      </c>
      <c r="CW36" s="65">
        <v>15</v>
      </c>
      <c r="CX36" s="65">
        <f t="shared" si="340"/>
        <v>218895</v>
      </c>
      <c r="CY36" s="66">
        <f t="shared" si="341"/>
        <v>115.20171232876713</v>
      </c>
      <c r="CZ36" s="67">
        <f t="shared" si="342"/>
        <v>2.0202990355624997</v>
      </c>
      <c r="DA36" s="65" t="e">
        <f t="shared" si="343"/>
        <v>#DIV/0!</v>
      </c>
      <c r="DB36" s="50">
        <f>DB26*6</f>
        <v>77579.482965599993</v>
      </c>
      <c r="DC36" s="68">
        <v>30</v>
      </c>
      <c r="DD36" s="65">
        <f t="shared" si="344"/>
        <v>437775</v>
      </c>
      <c r="DE36" s="66">
        <f t="shared" si="345"/>
        <v>230.40171232876713</v>
      </c>
      <c r="DF36" s="67">
        <f t="shared" si="346"/>
        <v>2.0437022065225001</v>
      </c>
      <c r="DG36" s="65" t="e">
        <f t="shared" si="347"/>
        <v>#DIV/0!</v>
      </c>
      <c r="DH36" s="50">
        <f>DH26*6</f>
        <v>78478.164730464006</v>
      </c>
      <c r="DI36" s="68">
        <v>70</v>
      </c>
      <c r="DJ36" s="65">
        <f t="shared" si="348"/>
        <v>1021455</v>
      </c>
      <c r="DK36" s="66">
        <f t="shared" si="349"/>
        <v>537.60171232876712</v>
      </c>
      <c r="DL36" s="67">
        <f t="shared" si="350"/>
        <v>2.1323305124425</v>
      </c>
      <c r="DM36" s="65" t="e">
        <f t="shared" si="351"/>
        <v>#DIV/0!</v>
      </c>
      <c r="DN36" s="50">
        <f>DN26*6</f>
        <v>81881.491677792001</v>
      </c>
      <c r="DO36" s="69">
        <v>3.9</v>
      </c>
      <c r="DP36" s="7"/>
      <c r="DQ36" s="65">
        <f t="shared" si="352"/>
        <v>183217.152</v>
      </c>
      <c r="DR36" s="65">
        <v>15</v>
      </c>
      <c r="DS36" s="65">
        <f t="shared" si="353"/>
        <v>218895</v>
      </c>
      <c r="DT36" s="66">
        <f t="shared" si="354"/>
        <v>115.20171232876713</v>
      </c>
      <c r="DU36" s="67">
        <f t="shared" si="355"/>
        <v>0.13630369991024999</v>
      </c>
      <c r="DV36" s="65">
        <f t="shared" si="356"/>
        <v>128.00190258751903</v>
      </c>
      <c r="DW36" s="50">
        <f>DW26*6</f>
        <v>9895.2417367679991</v>
      </c>
      <c r="DX36" s="68">
        <v>30</v>
      </c>
      <c r="DY36" s="65">
        <f t="shared" si="357"/>
        <v>437775</v>
      </c>
      <c r="DZ36" s="66">
        <f t="shared" si="358"/>
        <v>230.40171232876713</v>
      </c>
      <c r="EA36" s="67">
        <f t="shared" si="359"/>
        <v>0.13724654613750001</v>
      </c>
      <c r="EB36" s="65">
        <f t="shared" si="360"/>
        <v>256.00190258751906</v>
      </c>
      <c r="EC36" s="50">
        <f>EC26*6</f>
        <v>9963.6895584000013</v>
      </c>
      <c r="ED36" s="68">
        <v>70</v>
      </c>
      <c r="EE36" s="65">
        <f t="shared" si="361"/>
        <v>1021455</v>
      </c>
      <c r="EF36" s="66">
        <f t="shared" si="362"/>
        <v>537.60171232876712</v>
      </c>
      <c r="EG36" s="67">
        <f t="shared" si="363"/>
        <v>0.15375543624412499</v>
      </c>
      <c r="EH36" s="65">
        <f t="shared" si="364"/>
        <v>597.33523592085237</v>
      </c>
      <c r="EI36" s="50">
        <f>EI26*6</f>
        <v>11162.185699872</v>
      </c>
      <c r="EJ36" s="69">
        <v>3.9</v>
      </c>
    </row>
    <row r="37" spans="1:140">
      <c r="A37" s="48" t="str">
        <f t="shared" si="0"/>
        <v>DmSc</v>
      </c>
      <c r="B37" s="49">
        <v>211</v>
      </c>
      <c r="C37" s="48" t="s">
        <v>86</v>
      </c>
      <c r="D37" s="48" t="s">
        <v>81</v>
      </c>
      <c r="E37" s="48" t="s">
        <v>84</v>
      </c>
      <c r="F37" s="3"/>
      <c r="G37" s="50">
        <v>60000</v>
      </c>
      <c r="H37" s="50">
        <f t="shared" ref="H37:M37" si="390">(H27*4)+(H26*2)</f>
        <v>48450</v>
      </c>
      <c r="I37" s="50">
        <f t="shared" si="390"/>
        <v>4728</v>
      </c>
      <c r="J37" s="50">
        <f t="shared" si="390"/>
        <v>4102</v>
      </c>
      <c r="K37" s="50">
        <f t="shared" si="390"/>
        <v>2720</v>
      </c>
      <c r="L37" s="50">
        <f t="shared" si="390"/>
        <v>8360</v>
      </c>
      <c r="M37" s="50">
        <f t="shared" si="390"/>
        <v>1320</v>
      </c>
      <c r="N37" s="107">
        <f t="shared" si="301"/>
        <v>0.16133333333333333</v>
      </c>
      <c r="O37" s="177"/>
      <c r="P37" s="178"/>
      <c r="Q37" s="51">
        <f>Q30*4+Q29*2</f>
        <v>4940</v>
      </c>
      <c r="R37" s="52">
        <f t="shared" si="302"/>
        <v>3952</v>
      </c>
      <c r="S37" s="52">
        <f t="shared" si="4"/>
        <v>14820</v>
      </c>
      <c r="T37" s="3"/>
      <c r="U37" s="55">
        <f t="shared" si="303"/>
        <v>9680</v>
      </c>
      <c r="V37" s="56">
        <f t="shared" si="304"/>
        <v>0.16133333333333333</v>
      </c>
      <c r="W37" s="110">
        <f t="shared" si="305"/>
        <v>0.30066666666666669</v>
      </c>
      <c r="X37" s="113"/>
      <c r="Y37" s="57">
        <v>2</v>
      </c>
      <c r="Z37" s="58">
        <f t="shared" si="306"/>
        <v>18040</v>
      </c>
      <c r="AA37" s="58">
        <f t="shared" si="307"/>
        <v>14432</v>
      </c>
      <c r="AB37" s="58">
        <f t="shared" si="308"/>
        <v>21660</v>
      </c>
      <c r="AC37" s="50">
        <f>(AC27*4)+(AC26*2)</f>
        <v>16720</v>
      </c>
      <c r="AD37" s="58">
        <f t="shared" si="309"/>
        <v>13376</v>
      </c>
      <c r="AE37" s="58">
        <f t="shared" si="227"/>
        <v>220</v>
      </c>
      <c r="AF37" s="58">
        <f t="shared" si="310"/>
        <v>13156</v>
      </c>
      <c r="AG37" s="30"/>
      <c r="AH37" s="58">
        <f t="shared" si="14"/>
        <v>8360</v>
      </c>
      <c r="AI37" s="51">
        <f t="shared" ref="AI37:AJ37" si="391">AI26*2+AI27*4</f>
        <v>9094.7999999999993</v>
      </c>
      <c r="AJ37" s="58">
        <f t="shared" si="391"/>
        <v>16139.2</v>
      </c>
      <c r="AK37" s="58">
        <f t="shared" si="367"/>
        <v>33594</v>
      </c>
      <c r="AL37" s="58">
        <f>AL27*4+AL26*2</f>
        <v>61661.600000000006</v>
      </c>
      <c r="AM37" s="59">
        <f t="shared" si="312"/>
        <v>0.54481233052661615</v>
      </c>
      <c r="AN37" s="3"/>
      <c r="AO37" s="50">
        <f t="shared" ref="AO37:AP37" si="392">AO26*2+AO27*4</f>
        <v>800</v>
      </c>
      <c r="AP37" s="60">
        <f t="shared" si="392"/>
        <v>1100</v>
      </c>
      <c r="AQ37" s="55">
        <f t="shared" si="314"/>
        <v>1900</v>
      </c>
      <c r="AR37" s="3"/>
      <c r="AS37" s="50">
        <f>(AS27*4)+(AS26*2)</f>
        <v>44</v>
      </c>
      <c r="AT37" s="3"/>
      <c r="AU37" s="58">
        <v>47</v>
      </c>
      <c r="AV37" s="58">
        <v>152</v>
      </c>
      <c r="AW37" s="58">
        <v>190</v>
      </c>
      <c r="AX37" s="62">
        <f t="shared" ref="AX37:AY37" si="393">AX26*2+AX27*4</f>
        <v>284.59574468085106</v>
      </c>
      <c r="AY37" s="62">
        <f t="shared" si="393"/>
        <v>88</v>
      </c>
      <c r="AZ37" s="62">
        <f t="shared" si="316"/>
        <v>16.613038277511961</v>
      </c>
      <c r="BA37" s="62">
        <f t="shared" si="317"/>
        <v>53.727272727272727</v>
      </c>
      <c r="BB37" s="3"/>
      <c r="BC37" s="63" t="s">
        <v>78</v>
      </c>
      <c r="BD37" s="58">
        <f t="shared" si="318"/>
        <v>8360</v>
      </c>
      <c r="BE37" s="50">
        <f t="shared" ref="BE37:BF37" si="394">(BE27*4)+(BE26*2)</f>
        <v>13244</v>
      </c>
      <c r="BF37" s="50" t="e" vm="2">
        <f t="shared" si="394"/>
        <v>#VALUE!</v>
      </c>
      <c r="BG37" s="58" t="e" vm="2">
        <f t="shared" si="320"/>
        <v>#VALUE!</v>
      </c>
      <c r="BH37" s="58">
        <f t="shared" si="321"/>
        <v>4940</v>
      </c>
      <c r="BI37" s="50" t="e" vm="2">
        <f t="shared" ref="BI37:BJ37" si="395">(BI27*4)+(BI26*2)</f>
        <v>#VALUE!</v>
      </c>
      <c r="BJ37" s="50">
        <f t="shared" si="395"/>
        <v>132</v>
      </c>
      <c r="BK37" s="64">
        <v>0.2</v>
      </c>
      <c r="BL37" s="50">
        <f t="shared" ref="BL37:BR37" si="396">(BL27*4)+(BL26*2)</f>
        <v>2675.2000000000003</v>
      </c>
      <c r="BM37" s="50">
        <f t="shared" si="396"/>
        <v>3308.8</v>
      </c>
      <c r="BN37" s="50">
        <f t="shared" si="396"/>
        <v>7832</v>
      </c>
      <c r="BO37" s="50">
        <f t="shared" si="396"/>
        <v>528</v>
      </c>
      <c r="BP37" s="50">
        <f t="shared" si="396"/>
        <v>9064</v>
      </c>
      <c r="BQ37" s="50">
        <f t="shared" si="396"/>
        <v>66</v>
      </c>
      <c r="BR37" s="50" t="e" vm="2">
        <f t="shared" si="396"/>
        <v>#VALUE!</v>
      </c>
      <c r="BS37" s="26"/>
      <c r="BT37" s="50">
        <f t="shared" ref="BT37:BW37" si="397">(BT27*4)+(BT26*2)</f>
        <v>4012.8</v>
      </c>
      <c r="BU37" s="50">
        <f t="shared" si="397"/>
        <v>78517.119999999995</v>
      </c>
      <c r="BV37" s="50">
        <f t="shared" si="397"/>
        <v>5016</v>
      </c>
      <c r="BW37" s="50">
        <f t="shared" si="397"/>
        <v>2464</v>
      </c>
      <c r="BX37" s="58"/>
      <c r="BY37" s="58">
        <f t="shared" si="325"/>
        <v>0</v>
      </c>
      <c r="BZ37" s="3"/>
      <c r="CA37" s="65">
        <f t="shared" si="326"/>
        <v>167949.05600000001</v>
      </c>
      <c r="CB37" s="65">
        <v>15</v>
      </c>
      <c r="CC37" s="65">
        <f t="shared" si="327"/>
        <v>200655</v>
      </c>
      <c r="CD37" s="66">
        <f t="shared" si="328"/>
        <v>105.60171232876712</v>
      </c>
      <c r="CE37" s="67">
        <f t="shared" si="329"/>
        <v>0.19338513544045458</v>
      </c>
      <c r="CF37" s="65" t="e">
        <f t="shared" si="330"/>
        <v>#DIV/0!</v>
      </c>
      <c r="CG37" s="50">
        <f>(CG27*4)+(CG26*2)</f>
        <v>6807.1567675040005</v>
      </c>
      <c r="CH37" s="68">
        <v>30</v>
      </c>
      <c r="CI37" s="65">
        <f t="shared" si="331"/>
        <v>401295</v>
      </c>
      <c r="CJ37" s="66">
        <f t="shared" si="332"/>
        <v>211.20171232876712</v>
      </c>
      <c r="CK37" s="67">
        <f t="shared" si="333"/>
        <v>0.20442277260068181</v>
      </c>
      <c r="CL37" s="65" t="e">
        <f t="shared" si="334"/>
        <v>#DIV/0!</v>
      </c>
      <c r="CM37" s="50">
        <f>(CM27*4)+(CM26*2)</f>
        <v>7195.6815955439997</v>
      </c>
      <c r="CN37" s="68">
        <v>70</v>
      </c>
      <c r="CO37" s="65">
        <f t="shared" si="335"/>
        <v>936335</v>
      </c>
      <c r="CP37" s="66">
        <f t="shared" si="336"/>
        <v>492.80171232876711</v>
      </c>
      <c r="CQ37" s="67">
        <f t="shared" si="337"/>
        <v>0.26007007939795446</v>
      </c>
      <c r="CR37" s="65" t="e">
        <f t="shared" si="338"/>
        <v>#DIV/0!</v>
      </c>
      <c r="CS37" s="50">
        <f>(CS27*4)+(CS26*2)</f>
        <v>9154.4667948079987</v>
      </c>
      <c r="CT37" s="69">
        <v>3.05</v>
      </c>
      <c r="CU37" s="3"/>
      <c r="CV37" s="65">
        <f t="shared" si="339"/>
        <v>167949.05600000001</v>
      </c>
      <c r="CW37" s="65">
        <v>15</v>
      </c>
      <c r="CX37" s="65">
        <f t="shared" si="340"/>
        <v>200655</v>
      </c>
      <c r="CY37" s="66">
        <f t="shared" si="341"/>
        <v>105.60171232876712</v>
      </c>
      <c r="CZ37" s="67">
        <f t="shared" si="342"/>
        <v>1.9946583344561362</v>
      </c>
      <c r="DA37" s="65" t="e">
        <f t="shared" si="343"/>
        <v>#DIV/0!</v>
      </c>
      <c r="DB37" s="50">
        <f>(DB27*4)+(DB26*2)</f>
        <v>70211.973372855995</v>
      </c>
      <c r="DC37" s="68">
        <v>30</v>
      </c>
      <c r="DD37" s="65">
        <f t="shared" si="344"/>
        <v>401295</v>
      </c>
      <c r="DE37" s="66">
        <f t="shared" si="345"/>
        <v>211.20171232876712</v>
      </c>
      <c r="DF37" s="67">
        <f t="shared" si="346"/>
        <v>2.0180615054463638</v>
      </c>
      <c r="DG37" s="65" t="e">
        <f t="shared" si="347"/>
        <v>#DIV/0!</v>
      </c>
      <c r="DH37" s="50">
        <f>(DH27*4)+(DH26*2)</f>
        <v>71035.764991712</v>
      </c>
      <c r="DI37" s="68">
        <v>70</v>
      </c>
      <c r="DJ37" s="65">
        <f t="shared" si="348"/>
        <v>936335</v>
      </c>
      <c r="DK37" s="66">
        <f t="shared" si="349"/>
        <v>492.80171232876711</v>
      </c>
      <c r="DL37" s="67">
        <f t="shared" si="350"/>
        <v>2.1066898113663637</v>
      </c>
      <c r="DM37" s="65" t="e">
        <f t="shared" si="351"/>
        <v>#DIV/0!</v>
      </c>
      <c r="DN37" s="50">
        <f>(DN27*4)+(DN26*2)</f>
        <v>74155.481360096004</v>
      </c>
      <c r="DO37" s="69">
        <v>3.9</v>
      </c>
      <c r="DP37" s="7"/>
      <c r="DQ37" s="65">
        <f t="shared" si="352"/>
        <v>167949.05600000001</v>
      </c>
      <c r="DR37" s="65">
        <v>15</v>
      </c>
      <c r="DS37" s="65">
        <f t="shared" si="353"/>
        <v>200655</v>
      </c>
      <c r="DT37" s="66">
        <f t="shared" si="354"/>
        <v>105.60171232876712</v>
      </c>
      <c r="DU37" s="67">
        <f t="shared" si="355"/>
        <v>0.13556084667985227</v>
      </c>
      <c r="DV37" s="65">
        <f t="shared" si="356"/>
        <v>117.33523592085236</v>
      </c>
      <c r="DW37" s="50">
        <f>(DW27*4)+(DW26*2)</f>
        <v>9021.2034089039989</v>
      </c>
      <c r="DX37" s="68">
        <v>30</v>
      </c>
      <c r="DY37" s="65">
        <f t="shared" si="357"/>
        <v>401295</v>
      </c>
      <c r="DZ37" s="66">
        <f t="shared" si="358"/>
        <v>211.20171232876712</v>
      </c>
      <c r="EA37" s="67">
        <f t="shared" si="359"/>
        <v>0.13650369292309092</v>
      </c>
      <c r="EB37" s="65">
        <f t="shared" si="360"/>
        <v>234.66856925418568</v>
      </c>
      <c r="EC37" s="50">
        <f>(EC27*4)+(EC26*2)</f>
        <v>9083.9472464640003</v>
      </c>
      <c r="ED37" s="68">
        <v>70</v>
      </c>
      <c r="EE37" s="65">
        <f t="shared" si="361"/>
        <v>936335</v>
      </c>
      <c r="EF37" s="66">
        <f t="shared" si="362"/>
        <v>492.80171232876711</v>
      </c>
      <c r="EG37" s="67">
        <f t="shared" si="363"/>
        <v>0.1530125830297159</v>
      </c>
      <c r="EH37" s="65">
        <f t="shared" si="364"/>
        <v>547.55745814307454</v>
      </c>
      <c r="EI37" s="50">
        <f>(EI27*4)+(EI26*2)</f>
        <v>10182.56870948</v>
      </c>
      <c r="EJ37" s="69">
        <v>3.9</v>
      </c>
    </row>
    <row r="38" spans="1:140">
      <c r="A38" s="48" t="str">
        <f t="shared" si="0"/>
        <v>DmSa</v>
      </c>
      <c r="B38" s="49">
        <v>212</v>
      </c>
      <c r="C38" s="48" t="s">
        <v>86</v>
      </c>
      <c r="D38" s="48" t="s">
        <v>81</v>
      </c>
      <c r="E38" s="48" t="s">
        <v>85</v>
      </c>
      <c r="F38" s="3"/>
      <c r="G38" s="50">
        <v>60000</v>
      </c>
      <c r="H38" s="50">
        <f t="shared" ref="H38:M38" si="398">(H28*4)+(H26*2)</f>
        <v>48422</v>
      </c>
      <c r="I38" s="50">
        <f t="shared" si="398"/>
        <v>5384</v>
      </c>
      <c r="J38" s="50">
        <f t="shared" si="398"/>
        <v>3554</v>
      </c>
      <c r="K38" s="50">
        <f t="shared" si="398"/>
        <v>2640</v>
      </c>
      <c r="L38" s="50">
        <f t="shared" si="398"/>
        <v>6840</v>
      </c>
      <c r="M38" s="50">
        <f t="shared" si="398"/>
        <v>1080</v>
      </c>
      <c r="N38" s="107">
        <f t="shared" si="301"/>
        <v>0.13200000000000001</v>
      </c>
      <c r="O38" s="179"/>
      <c r="P38" s="180"/>
      <c r="Q38" s="50">
        <f>Q29*2+Q31*4</f>
        <v>4180</v>
      </c>
      <c r="R38" s="52">
        <f t="shared" si="302"/>
        <v>3344</v>
      </c>
      <c r="S38" s="52">
        <f t="shared" si="4"/>
        <v>12540</v>
      </c>
      <c r="T38" s="3"/>
      <c r="U38" s="55">
        <f t="shared" si="303"/>
        <v>7920</v>
      </c>
      <c r="V38" s="56">
        <f t="shared" si="304"/>
        <v>0.13200000000000001</v>
      </c>
      <c r="W38" s="110">
        <f t="shared" si="305"/>
        <v>0.246</v>
      </c>
      <c r="X38" s="113"/>
      <c r="Y38" s="57">
        <v>2</v>
      </c>
      <c r="Z38" s="58">
        <f t="shared" si="306"/>
        <v>14760</v>
      </c>
      <c r="AA38" s="58">
        <f t="shared" si="307"/>
        <v>11808</v>
      </c>
      <c r="AB38" s="58">
        <f t="shared" si="308"/>
        <v>17860</v>
      </c>
      <c r="AC38" s="50">
        <f>(AC28*4)+(AC26*2)</f>
        <v>13680</v>
      </c>
      <c r="AD38" s="58">
        <f t="shared" si="309"/>
        <v>10944</v>
      </c>
      <c r="AE38" s="58">
        <f t="shared" si="227"/>
        <v>180</v>
      </c>
      <c r="AF38" s="58">
        <f t="shared" si="310"/>
        <v>10764</v>
      </c>
      <c r="AG38" s="30"/>
      <c r="AH38" s="58">
        <f t="shared" si="14"/>
        <v>6840</v>
      </c>
      <c r="AI38" s="50">
        <f t="shared" ref="AI38:AJ38" si="399">AI26*2+AI28*4</f>
        <v>7441.2</v>
      </c>
      <c r="AJ38" s="58">
        <f t="shared" si="399"/>
        <v>13204.8</v>
      </c>
      <c r="AK38" s="58">
        <f t="shared" si="367"/>
        <v>27486</v>
      </c>
      <c r="AL38" s="58">
        <f>AL26*2+AL28*4</f>
        <v>50450.400000000001</v>
      </c>
      <c r="AM38" s="59">
        <f t="shared" si="312"/>
        <v>0.54481233052661626</v>
      </c>
      <c r="AN38" s="3"/>
      <c r="AO38" s="50">
        <f t="shared" ref="AO38:AP38" si="400">AO26*2+AO28*4</f>
        <v>760</v>
      </c>
      <c r="AP38" s="60">
        <f t="shared" si="400"/>
        <v>900</v>
      </c>
      <c r="AQ38" s="55">
        <f t="shared" si="314"/>
        <v>1660</v>
      </c>
      <c r="AR38" s="3"/>
      <c r="AS38" s="50">
        <f>(AS28*4)+(AS26*2)</f>
        <v>36</v>
      </c>
      <c r="AT38" s="3"/>
      <c r="AU38" s="58">
        <v>47</v>
      </c>
      <c r="AV38" s="58">
        <v>152</v>
      </c>
      <c r="AW38" s="58">
        <v>190</v>
      </c>
      <c r="AX38" s="62">
        <f t="shared" ref="AX38:AY38" si="401">AX26*2+AX28*4</f>
        <v>232.85106382978722</v>
      </c>
      <c r="AY38" s="62">
        <f t="shared" si="401"/>
        <v>72</v>
      </c>
      <c r="AZ38" s="62">
        <f t="shared" si="316"/>
        <v>23.122076023391813</v>
      </c>
      <c r="BA38" s="62">
        <f t="shared" si="317"/>
        <v>74.777777777777771</v>
      </c>
      <c r="BB38" s="3"/>
      <c r="BC38" s="63" t="s">
        <v>78</v>
      </c>
      <c r="BD38" s="58">
        <f t="shared" si="318"/>
        <v>6840</v>
      </c>
      <c r="BE38" s="50">
        <f t="shared" ref="BE38:BF38" si="402">(BE28*4)+(BE26*2)</f>
        <v>10836</v>
      </c>
      <c r="BF38" s="50" t="e" vm="2">
        <f t="shared" si="402"/>
        <v>#VALUE!</v>
      </c>
      <c r="BG38" s="58" t="e" vm="2">
        <f t="shared" si="320"/>
        <v>#VALUE!</v>
      </c>
      <c r="BH38" s="58">
        <f t="shared" si="321"/>
        <v>4180</v>
      </c>
      <c r="BI38" s="50" t="e" vm="2">
        <f t="shared" ref="BI38:BJ38" si="403">(BI28*4)+(BI26*2)</f>
        <v>#VALUE!</v>
      </c>
      <c r="BJ38" s="50">
        <f t="shared" si="403"/>
        <v>108</v>
      </c>
      <c r="BK38" s="64">
        <v>0.2</v>
      </c>
      <c r="BL38" s="50">
        <f t="shared" ref="BL38:BR38" si="404">(BL28*4)+(BL26*2)</f>
        <v>2188.8000000000002</v>
      </c>
      <c r="BM38" s="50">
        <f t="shared" si="404"/>
        <v>2707.2</v>
      </c>
      <c r="BN38" s="50">
        <f t="shared" si="404"/>
        <v>6408</v>
      </c>
      <c r="BO38" s="50">
        <f t="shared" si="404"/>
        <v>432</v>
      </c>
      <c r="BP38" s="50">
        <f t="shared" si="404"/>
        <v>7416</v>
      </c>
      <c r="BQ38" s="50">
        <f t="shared" si="404"/>
        <v>54</v>
      </c>
      <c r="BR38" s="50" t="e" vm="2">
        <f t="shared" si="404"/>
        <v>#VALUE!</v>
      </c>
      <c r="BS38" s="26"/>
      <c r="BT38" s="50">
        <f t="shared" ref="BT38:BW38" si="405">(BT28*4)+(BT26*2)</f>
        <v>3283.2</v>
      </c>
      <c r="BU38" s="50">
        <f t="shared" si="405"/>
        <v>64241.279999999999</v>
      </c>
      <c r="BV38" s="50">
        <f t="shared" si="405"/>
        <v>4104</v>
      </c>
      <c r="BW38" s="50">
        <f t="shared" si="405"/>
        <v>2016</v>
      </c>
      <c r="BX38" s="58"/>
      <c r="BY38" s="58">
        <f t="shared" si="325"/>
        <v>0</v>
      </c>
      <c r="BZ38" s="3"/>
      <c r="CA38" s="65">
        <f t="shared" si="326"/>
        <v>137412.864</v>
      </c>
      <c r="CB38" s="65">
        <v>15</v>
      </c>
      <c r="CC38" s="65">
        <f t="shared" si="327"/>
        <v>164175</v>
      </c>
      <c r="CD38" s="66">
        <f t="shared" si="328"/>
        <v>86.401712328767132</v>
      </c>
      <c r="CE38" s="67">
        <f t="shared" si="329"/>
        <v>0.19338045377999996</v>
      </c>
      <c r="CF38" s="65" t="e">
        <f t="shared" si="330"/>
        <v>#DIV/0!</v>
      </c>
      <c r="CG38" s="50">
        <f>(CG28*4)+(CG26*2)</f>
        <v>5569.3570688639993</v>
      </c>
      <c r="CH38" s="68">
        <v>30</v>
      </c>
      <c r="CI38" s="65">
        <f t="shared" si="331"/>
        <v>328335</v>
      </c>
      <c r="CJ38" s="66">
        <f t="shared" si="332"/>
        <v>172.80171232876714</v>
      </c>
      <c r="CK38" s="67">
        <f t="shared" si="333"/>
        <v>0.20441575010999999</v>
      </c>
      <c r="CL38" s="65" t="e">
        <f t="shared" si="334"/>
        <v>#DIV/0!</v>
      </c>
      <c r="CM38" s="50">
        <f>(CM28*4)+(CM26*2)</f>
        <v>5887.1736031679993</v>
      </c>
      <c r="CN38" s="68">
        <v>70</v>
      </c>
      <c r="CO38" s="65">
        <f t="shared" si="335"/>
        <v>766095</v>
      </c>
      <c r="CP38" s="66">
        <f t="shared" si="336"/>
        <v>403.20171232876709</v>
      </c>
      <c r="CQ38" s="67">
        <f t="shared" si="337"/>
        <v>0.26006305693749998</v>
      </c>
      <c r="CR38" s="65" t="e">
        <f t="shared" si="338"/>
        <v>#DIV/0!</v>
      </c>
      <c r="CS38" s="50">
        <f>(CS28*4)+(CS26*2)</f>
        <v>7489.8160398</v>
      </c>
      <c r="CT38" s="69">
        <v>3.05</v>
      </c>
      <c r="CU38" s="3"/>
      <c r="CV38" s="65">
        <f t="shared" si="339"/>
        <v>137412.864</v>
      </c>
      <c r="CW38" s="65">
        <v>15</v>
      </c>
      <c r="CX38" s="65">
        <f t="shared" si="340"/>
        <v>164175</v>
      </c>
      <c r="CY38" s="66">
        <f t="shared" si="341"/>
        <v>86.401712328767132</v>
      </c>
      <c r="CZ38" s="67">
        <f t="shared" si="342"/>
        <v>2.0056743493611116</v>
      </c>
      <c r="DA38" s="65" t="e">
        <f t="shared" si="343"/>
        <v>#DIV/0!</v>
      </c>
      <c r="DB38" s="50">
        <f>(DB28*4)+(DB26*2)</f>
        <v>57763.4212616</v>
      </c>
      <c r="DC38" s="68">
        <v>30</v>
      </c>
      <c r="DD38" s="65">
        <f t="shared" si="344"/>
        <v>328335</v>
      </c>
      <c r="DE38" s="66">
        <f t="shared" si="345"/>
        <v>172.80171232876714</v>
      </c>
      <c r="DF38" s="67">
        <f t="shared" si="346"/>
        <v>2.0290775203475002</v>
      </c>
      <c r="DG38" s="65" t="e">
        <f t="shared" si="347"/>
        <v>#DIV/0!</v>
      </c>
      <c r="DH38" s="50">
        <f>(DH28*4)+(DH26*2)</f>
        <v>58437.432586008006</v>
      </c>
      <c r="DI38" s="68">
        <v>70</v>
      </c>
      <c r="DJ38" s="65">
        <f t="shared" si="348"/>
        <v>766095</v>
      </c>
      <c r="DK38" s="66">
        <f t="shared" si="349"/>
        <v>403.20171232876709</v>
      </c>
      <c r="DL38" s="67">
        <f t="shared" si="350"/>
        <v>2.1177058262675001</v>
      </c>
      <c r="DM38" s="65" t="e">
        <f t="shared" si="351"/>
        <v>#DIV/0!</v>
      </c>
      <c r="DN38" s="50">
        <f>(DN28*4)+(DN26*2)</f>
        <v>60989.927796503995</v>
      </c>
      <c r="DO38" s="69">
        <v>3.9</v>
      </c>
      <c r="DP38" s="7"/>
      <c r="DQ38" s="65">
        <f t="shared" si="352"/>
        <v>137412.864</v>
      </c>
      <c r="DR38" s="65">
        <v>15</v>
      </c>
      <c r="DS38" s="65">
        <f t="shared" si="353"/>
        <v>164175</v>
      </c>
      <c r="DT38" s="66">
        <f t="shared" si="354"/>
        <v>86.401712328767132</v>
      </c>
      <c r="DU38" s="67">
        <f t="shared" si="355"/>
        <v>0.13587999879170834</v>
      </c>
      <c r="DV38" s="65">
        <f t="shared" si="356"/>
        <v>96.001902587519027</v>
      </c>
      <c r="DW38" s="50">
        <f>(DW28*4)+(DW26*2)</f>
        <v>7398.3617252559998</v>
      </c>
      <c r="DX38" s="68">
        <v>30</v>
      </c>
      <c r="DY38" s="65">
        <f t="shared" si="357"/>
        <v>328335</v>
      </c>
      <c r="DZ38" s="66">
        <f t="shared" si="358"/>
        <v>172.80171232876714</v>
      </c>
      <c r="EA38" s="67">
        <f t="shared" si="359"/>
        <v>0.13682284501895833</v>
      </c>
      <c r="EB38" s="65">
        <f t="shared" si="360"/>
        <v>192.00190258751903</v>
      </c>
      <c r="EC38" s="50">
        <f>(EC28*4)+(EC26*2)</f>
        <v>7449.6975914800005</v>
      </c>
      <c r="ED38" s="68">
        <v>70</v>
      </c>
      <c r="EE38" s="65">
        <f t="shared" si="361"/>
        <v>766095</v>
      </c>
      <c r="EF38" s="66">
        <f t="shared" si="362"/>
        <v>403.20171232876709</v>
      </c>
      <c r="EG38" s="67">
        <f t="shared" si="363"/>
        <v>0.15333173512558332</v>
      </c>
      <c r="EH38" s="65">
        <f t="shared" si="364"/>
        <v>448.001902587519</v>
      </c>
      <c r="EI38" s="50">
        <f>(EI28*4)+(EI26*2)</f>
        <v>8348.5696975840001</v>
      </c>
      <c r="EJ38" s="69">
        <v>3.9</v>
      </c>
    </row>
    <row r="39" spans="1:140">
      <c r="A39" s="70" t="str">
        <f t="shared" si="0"/>
        <v>DhGi</v>
      </c>
      <c r="B39" s="71">
        <v>220</v>
      </c>
      <c r="C39" s="70" t="s">
        <v>86</v>
      </c>
      <c r="D39" s="70" t="s">
        <v>82</v>
      </c>
      <c r="E39" s="70" t="s">
        <v>83</v>
      </c>
      <c r="F39" s="3"/>
      <c r="G39" s="72">
        <v>60000</v>
      </c>
      <c r="H39" s="72">
        <f t="shared" ref="H39:M39" si="406">H29*6</f>
        <v>43350</v>
      </c>
      <c r="I39" s="72">
        <f t="shared" si="406"/>
        <v>6984</v>
      </c>
      <c r="J39" s="72">
        <f t="shared" si="406"/>
        <v>5586</v>
      </c>
      <c r="K39" s="72">
        <f t="shared" si="406"/>
        <v>4080</v>
      </c>
      <c r="L39" s="72">
        <f t="shared" si="406"/>
        <v>11400</v>
      </c>
      <c r="M39" s="72">
        <f t="shared" si="406"/>
        <v>1800</v>
      </c>
      <c r="N39" s="91">
        <f t="shared" si="301"/>
        <v>0.22</v>
      </c>
      <c r="O39" s="76"/>
      <c r="P39" s="181"/>
      <c r="Q39" s="72">
        <f>Q29*6</f>
        <v>5700</v>
      </c>
      <c r="R39" s="72">
        <f t="shared" si="302"/>
        <v>4560</v>
      </c>
      <c r="S39" s="72">
        <f t="shared" si="4"/>
        <v>17100</v>
      </c>
      <c r="T39" s="3"/>
      <c r="U39" s="82">
        <f t="shared" si="303"/>
        <v>13200</v>
      </c>
      <c r="V39" s="78">
        <f t="shared" si="304"/>
        <v>0.22</v>
      </c>
      <c r="W39" s="111">
        <f t="shared" si="305"/>
        <v>0.505</v>
      </c>
      <c r="X39" s="32"/>
      <c r="Y39" s="79">
        <v>2.5</v>
      </c>
      <c r="Z39" s="77">
        <f t="shared" si="306"/>
        <v>30300</v>
      </c>
      <c r="AA39" s="77">
        <f t="shared" si="307"/>
        <v>24240</v>
      </c>
      <c r="AB39" s="77">
        <f t="shared" si="308"/>
        <v>34200</v>
      </c>
      <c r="AC39" s="72">
        <f>AC29*6</f>
        <v>27360</v>
      </c>
      <c r="AD39" s="77">
        <f t="shared" si="309"/>
        <v>22800</v>
      </c>
      <c r="AE39" s="77">
        <f t="shared" si="227"/>
        <v>300</v>
      </c>
      <c r="AF39" s="77">
        <f t="shared" si="310"/>
        <v>22500</v>
      </c>
      <c r="AG39" s="30"/>
      <c r="AH39" s="77">
        <f t="shared" si="14"/>
        <v>11400</v>
      </c>
      <c r="AI39" s="72">
        <f t="shared" ref="AI39:AL39" si="407">AI29*6</f>
        <v>14808</v>
      </c>
      <c r="AJ39" s="77">
        <f t="shared" si="407"/>
        <v>23532</v>
      </c>
      <c r="AK39" s="77">
        <f t="shared" si="407"/>
        <v>49740</v>
      </c>
      <c r="AL39" s="77">
        <f t="shared" si="407"/>
        <v>97950</v>
      </c>
      <c r="AM39" s="80">
        <f t="shared" si="312"/>
        <v>0.50781010719754982</v>
      </c>
      <c r="AN39" s="3"/>
      <c r="AO39" s="72">
        <f t="shared" ref="AO39:AP39" si="408">AO29*6</f>
        <v>1200</v>
      </c>
      <c r="AP39" s="81">
        <f t="shared" si="408"/>
        <v>750</v>
      </c>
      <c r="AQ39" s="82">
        <f t="shared" si="314"/>
        <v>1950</v>
      </c>
      <c r="AR39" s="3"/>
      <c r="AS39" s="72">
        <f>AS29*6</f>
        <v>60</v>
      </c>
      <c r="AT39" s="3"/>
      <c r="AU39" s="77">
        <v>47</v>
      </c>
      <c r="AV39" s="77">
        <v>152</v>
      </c>
      <c r="AW39" s="77">
        <v>190</v>
      </c>
      <c r="AX39" s="83">
        <f t="shared" ref="AX39:AY39" si="409">AX29*6</f>
        <v>485.10638297872345</v>
      </c>
      <c r="AY39" s="83">
        <f t="shared" si="409"/>
        <v>120</v>
      </c>
      <c r="AZ39" s="83">
        <f t="shared" si="316"/>
        <v>14.396842105263156</v>
      </c>
      <c r="BA39" s="83">
        <f t="shared" si="317"/>
        <v>58.2</v>
      </c>
      <c r="BB39" s="3"/>
      <c r="BC39" s="84" t="s">
        <v>78</v>
      </c>
      <c r="BD39" s="77">
        <f t="shared" si="318"/>
        <v>11400</v>
      </c>
      <c r="BE39" s="72">
        <f t="shared" ref="BE39:BF39" si="410">BE29*6</f>
        <v>22560</v>
      </c>
      <c r="BF39" s="72" t="e" vm="2">
        <f t="shared" si="410"/>
        <v>#VALUE!</v>
      </c>
      <c r="BG39" s="77" t="e" vm="2">
        <f t="shared" si="320"/>
        <v>#VALUE!</v>
      </c>
      <c r="BH39" s="77">
        <f t="shared" si="321"/>
        <v>5700</v>
      </c>
      <c r="BI39" s="72" t="e" vm="2">
        <f t="shared" ref="BI39:BJ39" si="411">BI29*6</f>
        <v>#VALUE!</v>
      </c>
      <c r="BJ39" s="72">
        <f t="shared" si="411"/>
        <v>180</v>
      </c>
      <c r="BK39" s="85">
        <v>0.2</v>
      </c>
      <c r="BL39" s="72">
        <f t="shared" ref="BL39:BR39" si="412">BL29*6</f>
        <v>4560</v>
      </c>
      <c r="BM39" s="72">
        <f t="shared" si="412"/>
        <v>4512</v>
      </c>
      <c r="BN39" s="72">
        <f t="shared" si="412"/>
        <v>10680</v>
      </c>
      <c r="BO39" s="72">
        <f t="shared" si="412"/>
        <v>720</v>
      </c>
      <c r="BP39" s="72">
        <f t="shared" si="412"/>
        <v>16860</v>
      </c>
      <c r="BQ39" s="72">
        <f t="shared" si="412"/>
        <v>120</v>
      </c>
      <c r="BR39" s="72" t="e" vm="2">
        <f t="shared" si="412"/>
        <v>#VALUE!</v>
      </c>
      <c r="BS39" s="26"/>
      <c r="BT39" s="72">
        <f t="shared" ref="BT39:BW39" si="413">BT29*6</f>
        <v>6840</v>
      </c>
      <c r="BU39" s="72">
        <f t="shared" si="413"/>
        <v>133836</v>
      </c>
      <c r="BV39" s="72">
        <f t="shared" si="413"/>
        <v>6840</v>
      </c>
      <c r="BW39" s="72">
        <f t="shared" si="413"/>
        <v>3360</v>
      </c>
      <c r="BX39" s="77"/>
      <c r="BY39" s="77">
        <f t="shared" si="325"/>
        <v>0</v>
      </c>
      <c r="BZ39" s="3"/>
      <c r="CA39" s="86">
        <f t="shared" si="326"/>
        <v>286276.8</v>
      </c>
      <c r="CB39" s="86">
        <v>15</v>
      </c>
      <c r="CC39" s="86">
        <f t="shared" si="327"/>
        <v>342015</v>
      </c>
      <c r="CD39" s="87">
        <f t="shared" si="328"/>
        <v>180.00171232876713</v>
      </c>
      <c r="CE39" s="88">
        <f t="shared" si="329"/>
        <v>0.17799015236400001</v>
      </c>
      <c r="CF39" s="86" t="e">
        <f t="shared" si="330"/>
        <v>#DIV/0!</v>
      </c>
      <c r="CG39" s="72">
        <f>CG29*6</f>
        <v>10679.40914184</v>
      </c>
      <c r="CH39" s="89">
        <v>30</v>
      </c>
      <c r="CI39" s="86">
        <f t="shared" si="331"/>
        <v>684015</v>
      </c>
      <c r="CJ39" s="87">
        <f t="shared" si="332"/>
        <v>360.0017123287671</v>
      </c>
      <c r="CK39" s="88">
        <f t="shared" si="333"/>
        <v>0.20275989297359995</v>
      </c>
      <c r="CL39" s="86" t="e">
        <f t="shared" si="334"/>
        <v>#DIV/0!</v>
      </c>
      <c r="CM39" s="72">
        <f>CM29*6</f>
        <v>12165.593578415999</v>
      </c>
      <c r="CN39" s="89">
        <v>70</v>
      </c>
      <c r="CO39" s="86">
        <f t="shared" si="335"/>
        <v>1596015</v>
      </c>
      <c r="CP39" s="87">
        <f t="shared" si="336"/>
        <v>840.0017123287671</v>
      </c>
      <c r="CQ39" s="88">
        <f t="shared" si="337"/>
        <v>0.24033286487279995</v>
      </c>
      <c r="CR39" s="86" t="e">
        <f t="shared" si="338"/>
        <v>#DIV/0!</v>
      </c>
      <c r="CS39" s="72">
        <f>CS29*6</f>
        <v>14419.971892367997</v>
      </c>
      <c r="CT39" s="90">
        <v>3.05</v>
      </c>
      <c r="CU39" s="3"/>
      <c r="CV39" s="86">
        <f t="shared" si="339"/>
        <v>286276.8</v>
      </c>
      <c r="CW39" s="86">
        <v>15</v>
      </c>
      <c r="CX39" s="86">
        <f t="shared" si="340"/>
        <v>342015</v>
      </c>
      <c r="CY39" s="87">
        <f t="shared" si="341"/>
        <v>180.00171232876713</v>
      </c>
      <c r="CZ39" s="88">
        <f t="shared" si="342"/>
        <v>1.8412986064679997</v>
      </c>
      <c r="DA39" s="86" t="e">
        <f t="shared" si="343"/>
        <v>#DIV/0!</v>
      </c>
      <c r="DB39" s="72">
        <f>DB29*6</f>
        <v>110477.91638808</v>
      </c>
      <c r="DC39" s="89">
        <v>30</v>
      </c>
      <c r="DD39" s="86">
        <f t="shared" si="344"/>
        <v>684015</v>
      </c>
      <c r="DE39" s="87">
        <f t="shared" si="345"/>
        <v>360.0017123287671</v>
      </c>
      <c r="DF39" s="88">
        <f t="shared" si="346"/>
        <v>1.8779415067223999</v>
      </c>
      <c r="DG39" s="86" t="e">
        <f t="shared" si="347"/>
        <v>#DIV/0!</v>
      </c>
      <c r="DH39" s="72">
        <f>DH29*6</f>
        <v>112676.490403344</v>
      </c>
      <c r="DI39" s="89">
        <v>70</v>
      </c>
      <c r="DJ39" s="86">
        <f t="shared" si="348"/>
        <v>1596015</v>
      </c>
      <c r="DK39" s="87">
        <f t="shared" si="349"/>
        <v>840.0017123287671</v>
      </c>
      <c r="DL39" s="88">
        <f t="shared" si="350"/>
        <v>1.9471762377960005</v>
      </c>
      <c r="DM39" s="86" t="e">
        <f t="shared" si="351"/>
        <v>#DIV/0!</v>
      </c>
      <c r="DN39" s="72">
        <f>DN29*6</f>
        <v>116830.57426776002</v>
      </c>
      <c r="DO39" s="90">
        <v>3.9</v>
      </c>
      <c r="DP39" s="7"/>
      <c r="DQ39" s="86">
        <f t="shared" si="352"/>
        <v>286276.8</v>
      </c>
      <c r="DR39" s="86">
        <v>15</v>
      </c>
      <c r="DS39" s="86">
        <f t="shared" si="353"/>
        <v>342015</v>
      </c>
      <c r="DT39" s="87">
        <f t="shared" si="354"/>
        <v>180.00171232876713</v>
      </c>
      <c r="DU39" s="88">
        <f t="shared" si="355"/>
        <v>0.11948815090044002</v>
      </c>
      <c r="DV39" s="86">
        <f t="shared" si="356"/>
        <v>200.00190258751903</v>
      </c>
      <c r="DW39" s="72">
        <f>DW29*6</f>
        <v>13553.879803632</v>
      </c>
      <c r="DX39" s="89">
        <v>30</v>
      </c>
      <c r="DY39" s="86">
        <f t="shared" si="357"/>
        <v>684015</v>
      </c>
      <c r="DZ39" s="87">
        <f t="shared" si="358"/>
        <v>360.0017123287671</v>
      </c>
      <c r="EA39" s="88">
        <f t="shared" si="359"/>
        <v>0.12787381738620002</v>
      </c>
      <c r="EB39" s="86">
        <f t="shared" si="360"/>
        <v>400.001902587519</v>
      </c>
      <c r="EC39" s="72">
        <f>EC29*6</f>
        <v>14505.089733360001</v>
      </c>
      <c r="ED39" s="89">
        <v>70</v>
      </c>
      <c r="EE39" s="86">
        <f t="shared" si="361"/>
        <v>1596015</v>
      </c>
      <c r="EF39" s="87">
        <f t="shared" si="362"/>
        <v>840.0017123287671</v>
      </c>
      <c r="EG39" s="88">
        <f t="shared" si="363"/>
        <v>0.13697569724256001</v>
      </c>
      <c r="EH39" s="86">
        <f t="shared" si="364"/>
        <v>933.33523592085226</v>
      </c>
      <c r="EI39" s="72">
        <f>EI29*6</f>
        <v>15537.541776768001</v>
      </c>
      <c r="EJ39" s="90">
        <v>3.9</v>
      </c>
    </row>
    <row r="40" spans="1:140">
      <c r="A40" s="70" t="str">
        <f t="shared" si="0"/>
        <v>DhSc</v>
      </c>
      <c r="B40" s="71">
        <v>221</v>
      </c>
      <c r="C40" s="70" t="s">
        <v>86</v>
      </c>
      <c r="D40" s="70" t="s">
        <v>82</v>
      </c>
      <c r="E40" s="70" t="s">
        <v>84</v>
      </c>
      <c r="F40" s="3"/>
      <c r="G40" s="72">
        <v>60000</v>
      </c>
      <c r="H40" s="72">
        <f t="shared" ref="H40:M40" si="414">(H30*4)+(H29*2)</f>
        <v>48450</v>
      </c>
      <c r="I40" s="72">
        <f t="shared" si="414"/>
        <v>4728</v>
      </c>
      <c r="J40" s="72">
        <f t="shared" si="414"/>
        <v>4102</v>
      </c>
      <c r="K40" s="72">
        <f t="shared" si="414"/>
        <v>2720</v>
      </c>
      <c r="L40" s="72">
        <f t="shared" si="414"/>
        <v>9880</v>
      </c>
      <c r="M40" s="72">
        <f t="shared" si="414"/>
        <v>1560</v>
      </c>
      <c r="N40" s="91">
        <f t="shared" si="301"/>
        <v>0.19066666666666668</v>
      </c>
      <c r="O40" s="177"/>
      <c r="P40" s="181"/>
      <c r="Q40" s="73">
        <f>Q29*2+Q30*4</f>
        <v>4940</v>
      </c>
      <c r="R40" s="72">
        <f t="shared" si="302"/>
        <v>3952</v>
      </c>
      <c r="S40" s="72">
        <f t="shared" si="4"/>
        <v>14820</v>
      </c>
      <c r="T40" s="3"/>
      <c r="U40" s="82">
        <f t="shared" si="303"/>
        <v>11440</v>
      </c>
      <c r="V40" s="78">
        <f t="shared" si="304"/>
        <v>0.19066666666666668</v>
      </c>
      <c r="W40" s="111">
        <f t="shared" si="305"/>
        <v>0.43766666666666665</v>
      </c>
      <c r="X40" s="32"/>
      <c r="Y40" s="79">
        <v>2.5</v>
      </c>
      <c r="Z40" s="77">
        <f t="shared" si="306"/>
        <v>26260</v>
      </c>
      <c r="AA40" s="77">
        <f t="shared" si="307"/>
        <v>21008</v>
      </c>
      <c r="AB40" s="77">
        <f t="shared" si="308"/>
        <v>29640</v>
      </c>
      <c r="AC40" s="72">
        <f>(AC30*4)+(AC29*2)</f>
        <v>23712</v>
      </c>
      <c r="AD40" s="77">
        <f t="shared" si="309"/>
        <v>19760</v>
      </c>
      <c r="AE40" s="77">
        <f t="shared" si="227"/>
        <v>260</v>
      </c>
      <c r="AF40" s="77">
        <f t="shared" si="310"/>
        <v>19500</v>
      </c>
      <c r="AG40" s="30"/>
      <c r="AH40" s="77">
        <f t="shared" si="14"/>
        <v>9880</v>
      </c>
      <c r="AI40" s="73">
        <f t="shared" ref="AI40:AJ40" si="415">AI29*2+AI30*4</f>
        <v>12833.6</v>
      </c>
      <c r="AJ40" s="77">
        <f t="shared" si="415"/>
        <v>20394.400000000001</v>
      </c>
      <c r="AK40" s="77">
        <f t="shared" ref="AK40:AK41" si="416">SUM(AH40:AJ40)</f>
        <v>43108</v>
      </c>
      <c r="AL40" s="77">
        <f>AL29*2+AL30*4</f>
        <v>84890</v>
      </c>
      <c r="AM40" s="80">
        <f t="shared" si="312"/>
        <v>0.50781010719754982</v>
      </c>
      <c r="AN40" s="3"/>
      <c r="AO40" s="72">
        <f t="shared" ref="AO40:AP40" si="417">AO29*2+AO30*4</f>
        <v>800</v>
      </c>
      <c r="AP40" s="81">
        <f t="shared" si="417"/>
        <v>650</v>
      </c>
      <c r="AQ40" s="82">
        <f t="shared" si="314"/>
        <v>1450</v>
      </c>
      <c r="AR40" s="3"/>
      <c r="AS40" s="72">
        <f>(AS30*4)+(AS29*2)</f>
        <v>52</v>
      </c>
      <c r="AT40" s="3"/>
      <c r="AU40" s="77">
        <v>47</v>
      </c>
      <c r="AV40" s="77">
        <v>152</v>
      </c>
      <c r="AW40" s="77">
        <v>190</v>
      </c>
      <c r="AX40" s="83">
        <f>AX29*2+AX30*4</f>
        <v>420.42553191489367</v>
      </c>
      <c r="AY40" s="83">
        <f>AY30*4+AY29*2</f>
        <v>104</v>
      </c>
      <c r="AZ40" s="83">
        <f t="shared" si="316"/>
        <v>11.245748987854249</v>
      </c>
      <c r="BA40" s="83">
        <f t="shared" si="317"/>
        <v>45.46153846153846</v>
      </c>
      <c r="BB40" s="3"/>
      <c r="BC40" s="84" t="s">
        <v>78</v>
      </c>
      <c r="BD40" s="77">
        <f t="shared" si="318"/>
        <v>9880</v>
      </c>
      <c r="BE40" s="72">
        <f t="shared" ref="BE40:BF40" si="418">(BE30*4)+(BE29*2)</f>
        <v>19552</v>
      </c>
      <c r="BF40" s="72" t="e" vm="2">
        <f t="shared" si="418"/>
        <v>#VALUE!</v>
      </c>
      <c r="BG40" s="77" t="e" vm="2">
        <f t="shared" si="320"/>
        <v>#VALUE!</v>
      </c>
      <c r="BH40" s="77">
        <f t="shared" si="321"/>
        <v>4940</v>
      </c>
      <c r="BI40" s="72" t="e" vm="2">
        <f t="shared" ref="BI40:BJ40" si="419">(BI30*4)+(BI29*2)</f>
        <v>#VALUE!</v>
      </c>
      <c r="BJ40" s="72">
        <f t="shared" si="419"/>
        <v>156</v>
      </c>
      <c r="BK40" s="85">
        <v>0.2</v>
      </c>
      <c r="BL40" s="72">
        <f t="shared" ref="BL40:BR40" si="420">(BL30*4)+(BL29*2)</f>
        <v>3952</v>
      </c>
      <c r="BM40" s="72">
        <f t="shared" si="420"/>
        <v>3910.4</v>
      </c>
      <c r="BN40" s="72">
        <f t="shared" si="420"/>
        <v>9256</v>
      </c>
      <c r="BO40" s="72">
        <f t="shared" si="420"/>
        <v>624</v>
      </c>
      <c r="BP40" s="72">
        <f t="shared" si="420"/>
        <v>14612</v>
      </c>
      <c r="BQ40" s="72">
        <f t="shared" si="420"/>
        <v>104</v>
      </c>
      <c r="BR40" s="72" t="e" vm="2">
        <f t="shared" si="420"/>
        <v>#VALUE!</v>
      </c>
      <c r="BS40" s="26"/>
      <c r="BT40" s="72">
        <f t="shared" ref="BT40:BW40" si="421">(BT30*4)+(BT29*2)</f>
        <v>5928</v>
      </c>
      <c r="BU40" s="72">
        <f t="shared" si="421"/>
        <v>115991.2</v>
      </c>
      <c r="BV40" s="72">
        <f t="shared" si="421"/>
        <v>5928</v>
      </c>
      <c r="BW40" s="72">
        <f t="shared" si="421"/>
        <v>2912</v>
      </c>
      <c r="BX40" s="77"/>
      <c r="BY40" s="77">
        <f t="shared" si="325"/>
        <v>0</v>
      </c>
      <c r="BZ40" s="3"/>
      <c r="CA40" s="86">
        <f t="shared" si="326"/>
        <v>248106.56</v>
      </c>
      <c r="CB40" s="86">
        <v>15</v>
      </c>
      <c r="CC40" s="86">
        <f t="shared" si="327"/>
        <v>296415</v>
      </c>
      <c r="CD40" s="87">
        <f t="shared" si="328"/>
        <v>156.00171232876713</v>
      </c>
      <c r="CE40" s="88">
        <f t="shared" si="329"/>
        <v>0.17799015236400004</v>
      </c>
      <c r="CF40" s="86" t="e">
        <f t="shared" si="330"/>
        <v>#DIV/0!</v>
      </c>
      <c r="CG40" s="72">
        <f>(CG30*4)+(CG29*2)</f>
        <v>9255.4879229280014</v>
      </c>
      <c r="CH40" s="89">
        <v>30</v>
      </c>
      <c r="CI40" s="86">
        <f t="shared" si="331"/>
        <v>592815</v>
      </c>
      <c r="CJ40" s="87">
        <f t="shared" si="332"/>
        <v>312.0017123287671</v>
      </c>
      <c r="CK40" s="88">
        <f t="shared" si="333"/>
        <v>0.20275989297359998</v>
      </c>
      <c r="CL40" s="86" t="e">
        <f t="shared" si="334"/>
        <v>#DIV/0!</v>
      </c>
      <c r="CM40" s="72">
        <f>(CM30*4)+(CM29*2)</f>
        <v>10543.514434627199</v>
      </c>
      <c r="CN40" s="89">
        <v>70</v>
      </c>
      <c r="CO40" s="86">
        <f t="shared" si="335"/>
        <v>1383215</v>
      </c>
      <c r="CP40" s="87">
        <f t="shared" si="336"/>
        <v>728.0017123287671</v>
      </c>
      <c r="CQ40" s="88">
        <f t="shared" si="337"/>
        <v>0.24033286487280001</v>
      </c>
      <c r="CR40" s="86" t="e">
        <f t="shared" si="338"/>
        <v>#DIV/0!</v>
      </c>
      <c r="CS40" s="72">
        <f>(CS30*4)+(CS29*2)</f>
        <v>12497.3089733856</v>
      </c>
      <c r="CT40" s="90">
        <v>3.05</v>
      </c>
      <c r="CU40" s="3"/>
      <c r="CV40" s="86">
        <f t="shared" si="339"/>
        <v>248106.56</v>
      </c>
      <c r="CW40" s="86">
        <v>15</v>
      </c>
      <c r="CX40" s="86">
        <f t="shared" si="340"/>
        <v>296415</v>
      </c>
      <c r="CY40" s="87">
        <f t="shared" si="341"/>
        <v>156.00171232876713</v>
      </c>
      <c r="CZ40" s="88">
        <f t="shared" si="342"/>
        <v>1.8274117103444307</v>
      </c>
      <c r="DA40" s="86" t="e">
        <f t="shared" si="343"/>
        <v>#DIV/0!</v>
      </c>
      <c r="DB40" s="72">
        <f>(DB30*4)+(DB29*2)</f>
        <v>95025.408937910397</v>
      </c>
      <c r="DC40" s="89">
        <v>30</v>
      </c>
      <c r="DD40" s="86">
        <f t="shared" si="344"/>
        <v>592815</v>
      </c>
      <c r="DE40" s="87">
        <f t="shared" si="345"/>
        <v>312.0017123287671</v>
      </c>
      <c r="DF40" s="88">
        <f t="shared" si="346"/>
        <v>1.8640546105988312</v>
      </c>
      <c r="DG40" s="86" t="e">
        <f t="shared" si="347"/>
        <v>#DIV/0!</v>
      </c>
      <c r="DH40" s="72">
        <f>(DH30*4)+(DH29*2)</f>
        <v>96930.839751139196</v>
      </c>
      <c r="DI40" s="89">
        <v>70</v>
      </c>
      <c r="DJ40" s="86">
        <f t="shared" si="348"/>
        <v>1383215</v>
      </c>
      <c r="DK40" s="87">
        <f t="shared" si="349"/>
        <v>728.0017123287671</v>
      </c>
      <c r="DL40" s="88">
        <f t="shared" si="350"/>
        <v>1.933289341672431</v>
      </c>
      <c r="DM40" s="86" t="e">
        <f t="shared" si="351"/>
        <v>#DIV/0!</v>
      </c>
      <c r="DN40" s="72">
        <f>(DN30*4)+(DN29*2)</f>
        <v>100531.04576696642</v>
      </c>
      <c r="DO40" s="90">
        <v>3.9</v>
      </c>
      <c r="DP40" s="7"/>
      <c r="DQ40" s="86">
        <f t="shared" si="352"/>
        <v>248106.56</v>
      </c>
      <c r="DR40" s="86">
        <v>15</v>
      </c>
      <c r="DS40" s="86">
        <f t="shared" si="353"/>
        <v>296415</v>
      </c>
      <c r="DT40" s="87">
        <f t="shared" si="354"/>
        <v>156.00171232876713</v>
      </c>
      <c r="DU40" s="88">
        <f t="shared" si="355"/>
        <v>0.1190858676401077</v>
      </c>
      <c r="DV40" s="86">
        <f t="shared" si="356"/>
        <v>173.33523592085237</v>
      </c>
      <c r="DW40" s="72">
        <f>(DW30*4)+(DW29*2)</f>
        <v>11707.147982928</v>
      </c>
      <c r="DX40" s="89">
        <v>30</v>
      </c>
      <c r="DY40" s="86">
        <f t="shared" si="357"/>
        <v>592815</v>
      </c>
      <c r="DZ40" s="87">
        <f t="shared" si="358"/>
        <v>312.0017123287671</v>
      </c>
      <c r="EA40" s="88">
        <f t="shared" si="359"/>
        <v>0.12747153412586767</v>
      </c>
      <c r="EB40" s="86">
        <f t="shared" si="360"/>
        <v>346.66856925418568</v>
      </c>
      <c r="EC40" s="72">
        <f>(EC30*4)+(EC29*2)</f>
        <v>12531.5299220256</v>
      </c>
      <c r="ED40" s="89">
        <v>70</v>
      </c>
      <c r="EE40" s="86">
        <f t="shared" si="361"/>
        <v>1383215</v>
      </c>
      <c r="EF40" s="87">
        <f t="shared" si="362"/>
        <v>728.0017123287671</v>
      </c>
      <c r="EG40" s="88">
        <f t="shared" si="363"/>
        <v>0.13657341398222766</v>
      </c>
      <c r="EH40" s="86">
        <f t="shared" si="364"/>
        <v>808.89079147640791</v>
      </c>
      <c r="EI40" s="72">
        <f>(EI30*4)+(EI29*2)</f>
        <v>13426.3216929792</v>
      </c>
      <c r="EJ40" s="90">
        <v>3.9</v>
      </c>
    </row>
    <row r="41" spans="1:140">
      <c r="A41" s="70" t="str">
        <f t="shared" si="0"/>
        <v>DhSa</v>
      </c>
      <c r="B41" s="71">
        <v>222</v>
      </c>
      <c r="C41" s="70" t="s">
        <v>86</v>
      </c>
      <c r="D41" s="70" t="s">
        <v>82</v>
      </c>
      <c r="E41" s="70" t="s">
        <v>85</v>
      </c>
      <c r="F41" s="3"/>
      <c r="G41" s="72">
        <v>60000</v>
      </c>
      <c r="H41" s="72">
        <f t="shared" ref="H41:M41" si="422">(H31*4)+(H29*2)</f>
        <v>48422</v>
      </c>
      <c r="I41" s="72">
        <f t="shared" si="422"/>
        <v>5384</v>
      </c>
      <c r="J41" s="72">
        <f t="shared" si="422"/>
        <v>3554</v>
      </c>
      <c r="K41" s="72">
        <f t="shared" si="422"/>
        <v>2640</v>
      </c>
      <c r="L41" s="72">
        <f t="shared" si="422"/>
        <v>8360</v>
      </c>
      <c r="M41" s="72">
        <f t="shared" si="422"/>
        <v>1320</v>
      </c>
      <c r="N41" s="91">
        <f t="shared" si="301"/>
        <v>0.16133333333333333</v>
      </c>
      <c r="O41" s="179"/>
      <c r="P41" s="182"/>
      <c r="Q41" s="72">
        <f>Q31*4+Q29*2</f>
        <v>4180</v>
      </c>
      <c r="R41" s="72">
        <f t="shared" si="302"/>
        <v>3344</v>
      </c>
      <c r="S41" s="72">
        <f t="shared" si="4"/>
        <v>12540</v>
      </c>
      <c r="T41" s="3"/>
      <c r="U41" s="82">
        <f t="shared" si="303"/>
        <v>9680</v>
      </c>
      <c r="V41" s="78">
        <f t="shared" si="304"/>
        <v>0.16133333333333333</v>
      </c>
      <c r="W41" s="111">
        <f t="shared" si="305"/>
        <v>0.37033333333333335</v>
      </c>
      <c r="X41" s="32"/>
      <c r="Y41" s="79">
        <v>2.5</v>
      </c>
      <c r="Z41" s="77">
        <f t="shared" si="306"/>
        <v>22220</v>
      </c>
      <c r="AA41" s="77">
        <f t="shared" si="307"/>
        <v>17776</v>
      </c>
      <c r="AB41" s="77">
        <f t="shared" si="308"/>
        <v>25080</v>
      </c>
      <c r="AC41" s="72">
        <f>(AC31*4)+(AC29*2)</f>
        <v>20064</v>
      </c>
      <c r="AD41" s="77">
        <f t="shared" si="309"/>
        <v>16720</v>
      </c>
      <c r="AE41" s="77">
        <f t="shared" si="227"/>
        <v>220</v>
      </c>
      <c r="AF41" s="77">
        <f t="shared" si="310"/>
        <v>16500</v>
      </c>
      <c r="AG41" s="30"/>
      <c r="AH41" s="77">
        <f t="shared" si="14"/>
        <v>8360</v>
      </c>
      <c r="AI41" s="72">
        <f t="shared" ref="AI41:AJ41" si="423">AI29*2+AI31*4</f>
        <v>10859.2</v>
      </c>
      <c r="AJ41" s="77">
        <f t="shared" si="423"/>
        <v>17256.8</v>
      </c>
      <c r="AK41" s="77">
        <f t="shared" si="416"/>
        <v>36476</v>
      </c>
      <c r="AL41" s="77">
        <f>AL29*2+AL31*4</f>
        <v>71830</v>
      </c>
      <c r="AM41" s="80">
        <f t="shared" si="312"/>
        <v>0.50781010719754982</v>
      </c>
      <c r="AN41" s="3"/>
      <c r="AO41" s="72">
        <f t="shared" ref="AO41:AP41" si="424">AO29*2+AO31*4</f>
        <v>760</v>
      </c>
      <c r="AP41" s="81">
        <f t="shared" si="424"/>
        <v>550</v>
      </c>
      <c r="AQ41" s="82">
        <f t="shared" si="314"/>
        <v>1310</v>
      </c>
      <c r="AR41" s="3"/>
      <c r="AS41" s="72">
        <f>(AS31*4)+(AS29*2)</f>
        <v>44</v>
      </c>
      <c r="AT41" s="3"/>
      <c r="AU41" s="77">
        <v>47</v>
      </c>
      <c r="AV41" s="77">
        <v>152</v>
      </c>
      <c r="AW41" s="77">
        <v>190</v>
      </c>
      <c r="AX41" s="83">
        <f t="shared" ref="AX41:AY41" si="425">AX29*2+AX31*4</f>
        <v>355.74468085106383</v>
      </c>
      <c r="AY41" s="83">
        <f t="shared" si="425"/>
        <v>88</v>
      </c>
      <c r="AZ41" s="83">
        <f t="shared" si="316"/>
        <v>15.13444976076555</v>
      </c>
      <c r="BA41" s="83">
        <f t="shared" si="317"/>
        <v>61.18181818181818</v>
      </c>
      <c r="BB41" s="3"/>
      <c r="BC41" s="84" t="s">
        <v>78</v>
      </c>
      <c r="BD41" s="77">
        <f t="shared" si="318"/>
        <v>8360</v>
      </c>
      <c r="BE41" s="72">
        <f t="shared" ref="BE41:BF41" si="426">(BE31*4)+(BE29*2)</f>
        <v>16544</v>
      </c>
      <c r="BF41" s="72" t="e" vm="2">
        <f t="shared" si="426"/>
        <v>#VALUE!</v>
      </c>
      <c r="BG41" s="77" t="e" vm="2">
        <f t="shared" si="320"/>
        <v>#VALUE!</v>
      </c>
      <c r="BH41" s="77">
        <f t="shared" si="321"/>
        <v>4180</v>
      </c>
      <c r="BI41" s="72" t="e" vm="2">
        <f t="shared" ref="BI41:BJ41" si="427">(BI31*4)+(BI29*2)</f>
        <v>#VALUE!</v>
      </c>
      <c r="BJ41" s="72">
        <f t="shared" si="427"/>
        <v>132</v>
      </c>
      <c r="BK41" s="85">
        <v>0.2</v>
      </c>
      <c r="BL41" s="72">
        <f t="shared" ref="BL41:BR41" si="428">(BL31*4)+(BL29*2)</f>
        <v>3344</v>
      </c>
      <c r="BM41" s="72">
        <f t="shared" si="428"/>
        <v>3308.8</v>
      </c>
      <c r="BN41" s="72">
        <f t="shared" si="428"/>
        <v>7832</v>
      </c>
      <c r="BO41" s="72">
        <f t="shared" si="428"/>
        <v>528</v>
      </c>
      <c r="BP41" s="72">
        <f t="shared" si="428"/>
        <v>12364</v>
      </c>
      <c r="BQ41" s="72">
        <f t="shared" si="428"/>
        <v>88</v>
      </c>
      <c r="BR41" s="72" t="e" vm="2">
        <f t="shared" si="428"/>
        <v>#VALUE!</v>
      </c>
      <c r="BS41" s="26"/>
      <c r="BT41" s="72">
        <f t="shared" ref="BT41:BW41" si="429">(BT31*4)+(BT29*2)</f>
        <v>5016</v>
      </c>
      <c r="BU41" s="72">
        <f t="shared" si="429"/>
        <v>98146.4</v>
      </c>
      <c r="BV41" s="72">
        <f t="shared" si="429"/>
        <v>5016</v>
      </c>
      <c r="BW41" s="72">
        <f t="shared" si="429"/>
        <v>2464</v>
      </c>
      <c r="BX41" s="77"/>
      <c r="BY41" s="77">
        <f t="shared" si="325"/>
        <v>0</v>
      </c>
      <c r="BZ41" s="3"/>
      <c r="CA41" s="86">
        <f t="shared" si="326"/>
        <v>209936.32</v>
      </c>
      <c r="CB41" s="86">
        <v>15</v>
      </c>
      <c r="CC41" s="86">
        <f t="shared" si="327"/>
        <v>250815</v>
      </c>
      <c r="CD41" s="87">
        <f t="shared" si="328"/>
        <v>132.00171232876713</v>
      </c>
      <c r="CE41" s="88">
        <f t="shared" si="329"/>
        <v>0.17799015236400004</v>
      </c>
      <c r="CF41" s="86" t="e">
        <f t="shared" si="330"/>
        <v>#DIV/0!</v>
      </c>
      <c r="CG41" s="72">
        <f>(CG31*4)+(CG29*2)</f>
        <v>7831.5667040160006</v>
      </c>
      <c r="CH41" s="89">
        <v>30</v>
      </c>
      <c r="CI41" s="86">
        <f t="shared" si="331"/>
        <v>501615</v>
      </c>
      <c r="CJ41" s="87">
        <f t="shared" si="332"/>
        <v>264.0017123287671</v>
      </c>
      <c r="CK41" s="88">
        <f t="shared" si="333"/>
        <v>0.20275989297359998</v>
      </c>
      <c r="CL41" s="86" t="e">
        <f t="shared" si="334"/>
        <v>#DIV/0!</v>
      </c>
      <c r="CM41" s="72">
        <f>(CM31*4)+(CM29*2)</f>
        <v>8921.4352908383989</v>
      </c>
      <c r="CN41" s="89">
        <v>70</v>
      </c>
      <c r="CO41" s="86">
        <f t="shared" si="335"/>
        <v>1170415</v>
      </c>
      <c r="CP41" s="87">
        <f t="shared" si="336"/>
        <v>616.0017123287671</v>
      </c>
      <c r="CQ41" s="88">
        <f t="shared" si="337"/>
        <v>0.24033286487279998</v>
      </c>
      <c r="CR41" s="86" t="e">
        <f t="shared" si="338"/>
        <v>#DIV/0!</v>
      </c>
      <c r="CS41" s="72">
        <f>(CS31*4)+(CS29*2)</f>
        <v>10574.646054403198</v>
      </c>
      <c r="CT41" s="90">
        <v>3.05</v>
      </c>
      <c r="CU41" s="3"/>
      <c r="CV41" s="86">
        <f t="shared" si="339"/>
        <v>209936.32</v>
      </c>
      <c r="CW41" s="86">
        <v>15</v>
      </c>
      <c r="CX41" s="86">
        <f t="shared" si="340"/>
        <v>250815</v>
      </c>
      <c r="CY41" s="87">
        <f t="shared" si="341"/>
        <v>132.00171232876713</v>
      </c>
      <c r="CZ41" s="88">
        <f t="shared" si="342"/>
        <v>1.8330927133123636</v>
      </c>
      <c r="DA41" s="86" t="e">
        <f t="shared" si="343"/>
        <v>#DIV/0!</v>
      </c>
      <c r="DB41" s="72">
        <f>(DB31*4)+(DB29*2)</f>
        <v>80656.079385744</v>
      </c>
      <c r="DC41" s="89">
        <v>30</v>
      </c>
      <c r="DD41" s="86">
        <f t="shared" si="344"/>
        <v>501615</v>
      </c>
      <c r="DE41" s="87">
        <f t="shared" si="345"/>
        <v>264.0017123287671</v>
      </c>
      <c r="DF41" s="88">
        <f t="shared" si="346"/>
        <v>1.8697356135667638</v>
      </c>
      <c r="DG41" s="86" t="e">
        <f t="shared" si="347"/>
        <v>#DIV/0!</v>
      </c>
      <c r="DH41" s="72">
        <f>(DH31*4)+(DH29*2)</f>
        <v>82268.366996937606</v>
      </c>
      <c r="DI41" s="89">
        <v>70</v>
      </c>
      <c r="DJ41" s="86">
        <f t="shared" si="348"/>
        <v>1170415</v>
      </c>
      <c r="DK41" s="87">
        <f t="shared" si="349"/>
        <v>616.0017123287671</v>
      </c>
      <c r="DL41" s="88">
        <f t="shared" si="350"/>
        <v>1.9389703446154911</v>
      </c>
      <c r="DM41" s="86" t="e">
        <f t="shared" si="351"/>
        <v>#DIV/0!</v>
      </c>
      <c r="DN41" s="72">
        <f>(DN31*4)+(DN29*2)</f>
        <v>85314.695163081604</v>
      </c>
      <c r="DO41" s="90">
        <v>3.9</v>
      </c>
      <c r="DP41" s="7"/>
      <c r="DQ41" s="86">
        <f t="shared" si="352"/>
        <v>209936.32</v>
      </c>
      <c r="DR41" s="86">
        <v>15</v>
      </c>
      <c r="DS41" s="86">
        <f t="shared" si="353"/>
        <v>250815</v>
      </c>
      <c r="DT41" s="87">
        <f t="shared" si="354"/>
        <v>132.00171232876713</v>
      </c>
      <c r="DU41" s="88">
        <f t="shared" si="355"/>
        <v>0.11925043806478909</v>
      </c>
      <c r="DV41" s="86">
        <f t="shared" si="356"/>
        <v>146.66856925418568</v>
      </c>
      <c r="DW41" s="72">
        <f>(DW31*4)+(DW29*2)</f>
        <v>9919.7379325536003</v>
      </c>
      <c r="DX41" s="89">
        <v>30</v>
      </c>
      <c r="DY41" s="86">
        <f t="shared" si="357"/>
        <v>501615</v>
      </c>
      <c r="DZ41" s="87">
        <f t="shared" si="358"/>
        <v>264.0017123287671</v>
      </c>
      <c r="EA41" s="88">
        <f t="shared" si="359"/>
        <v>0.12763610455054908</v>
      </c>
      <c r="EB41" s="86">
        <f t="shared" si="360"/>
        <v>293.33523592085231</v>
      </c>
      <c r="EC41" s="72">
        <f>(EC31*4)+(EC29*2)</f>
        <v>10617.291881020799</v>
      </c>
      <c r="ED41" s="89">
        <v>70</v>
      </c>
      <c r="EE41" s="86">
        <f t="shared" si="361"/>
        <v>1170415</v>
      </c>
      <c r="EF41" s="87">
        <f t="shared" si="362"/>
        <v>616.0017123287671</v>
      </c>
      <c r="EG41" s="88">
        <f t="shared" si="363"/>
        <v>0.1367379844069091</v>
      </c>
      <c r="EH41" s="86">
        <f t="shared" si="364"/>
        <v>684.44634703196346</v>
      </c>
      <c r="EI41" s="72">
        <f>(EI31*4)+(EI29*2)</f>
        <v>11374.42337952</v>
      </c>
      <c r="EJ41" s="90">
        <v>3.9</v>
      </c>
    </row>
    <row r="42" spans="1:140">
      <c r="A42" s="11" t="str">
        <f t="shared" si="0"/>
        <v/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21">
        <f t="shared" si="4"/>
        <v>0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26"/>
      <c r="AE42" s="3"/>
      <c r="AF42" s="3"/>
      <c r="AG42" s="3"/>
      <c r="AH42" s="6">
        <f t="shared" si="14"/>
        <v>0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102"/>
      <c r="CM42" s="102"/>
      <c r="CN42" s="102"/>
      <c r="CO42" s="102"/>
      <c r="CP42" s="7"/>
      <c r="CQ42" s="7"/>
      <c r="CR42" s="103"/>
      <c r="CS42" s="103"/>
      <c r="CT42" s="104"/>
      <c r="CU42" s="3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</row>
    <row r="43" spans="1:140">
      <c r="A43" s="18" t="str">
        <f t="shared" si="0"/>
        <v>RgKr</v>
      </c>
      <c r="B43" s="19">
        <v>19</v>
      </c>
      <c r="C43" s="18" t="s">
        <v>87</v>
      </c>
      <c r="D43" s="18" t="s">
        <v>76</v>
      </c>
      <c r="E43" s="18" t="s">
        <v>77</v>
      </c>
      <c r="F43" s="3"/>
      <c r="G43" s="21">
        <v>10000</v>
      </c>
      <c r="H43" s="21">
        <v>7225</v>
      </c>
      <c r="I43" s="21">
        <v>1164</v>
      </c>
      <c r="J43" s="21">
        <v>931</v>
      </c>
      <c r="K43" s="21">
        <v>680</v>
      </c>
      <c r="L43" s="21">
        <f>95*22</f>
        <v>2090</v>
      </c>
      <c r="M43" s="21">
        <f t="shared" ref="M43:M51" si="430">15*AY43</f>
        <v>247.5</v>
      </c>
      <c r="N43" s="23">
        <f t="shared" ref="N43:N51" si="431">(L43+M43)/G43</f>
        <v>0.23375000000000001</v>
      </c>
      <c r="O43" s="24"/>
      <c r="P43" s="176"/>
      <c r="Q43" s="21">
        <f t="shared" ref="Q43:Q51" si="432">L43*0.5</f>
        <v>1045</v>
      </c>
      <c r="R43" s="21">
        <f t="shared" ref="R43:R51" si="433">Q43*0.8</f>
        <v>836</v>
      </c>
      <c r="S43" s="21">
        <f t="shared" si="4"/>
        <v>3135</v>
      </c>
      <c r="T43" s="3"/>
      <c r="U43" s="26">
        <f t="shared" ref="U43:U51" si="434">L43+M43</f>
        <v>2337.5</v>
      </c>
      <c r="V43" s="27">
        <f t="shared" ref="V43:V51" si="435">U43/G43</f>
        <v>0.23375000000000001</v>
      </c>
      <c r="W43" s="108">
        <f t="shared" ref="W43:W51" si="436">Z43/G43</f>
        <v>0.33825</v>
      </c>
      <c r="X43" s="3"/>
      <c r="Y43" s="29">
        <v>1.5</v>
      </c>
      <c r="Z43" s="26">
        <f t="shared" ref="Z43:Z51" si="437">(L43*Y43)+M43</f>
        <v>3382.5</v>
      </c>
      <c r="AA43" s="26">
        <f t="shared" ref="AA43:AA51" si="438">Z43*0.8</f>
        <v>2706</v>
      </c>
      <c r="AB43" s="26">
        <f t="shared" ref="AB43:AB51" si="439">(L43*Y43)+BH43</f>
        <v>4180</v>
      </c>
      <c r="AC43" s="26">
        <f t="shared" ref="AC43:AC51" si="440">AB43*(1-0.2)</f>
        <v>3344</v>
      </c>
      <c r="AD43" s="26">
        <f t="shared" ref="AD43:AD61" si="441">((L43*Y43)*0.8)</f>
        <v>2508</v>
      </c>
      <c r="AE43" s="26">
        <f t="shared" ref="AE43:AE51" si="442">2.5*AY43</f>
        <v>41.25</v>
      </c>
      <c r="AF43" s="26">
        <f t="shared" ref="AF43:AF51" si="443">AD43-AE43</f>
        <v>2466.75</v>
      </c>
      <c r="AG43" s="3"/>
      <c r="AH43" s="26">
        <f t="shared" si="14"/>
        <v>2090</v>
      </c>
      <c r="AI43" s="26">
        <f>(4*493.6)+(2*370.2)</f>
        <v>2714.8</v>
      </c>
      <c r="AJ43" s="26">
        <f>(4*322.2)+(2*276.6)</f>
        <v>1842</v>
      </c>
      <c r="AK43" s="26">
        <f t="shared" ref="AK43:AK51" si="444">SUM(AH43:AJ43)</f>
        <v>6646.8</v>
      </c>
      <c r="AL43" s="26">
        <f>(4*2125)+(2*1593.7)</f>
        <v>11687.4</v>
      </c>
      <c r="AM43" s="31">
        <f t="shared" ref="AM43:AM51" si="445">AK43/AL43</f>
        <v>0.56871502643872895</v>
      </c>
      <c r="AN43" s="3"/>
      <c r="AO43" s="21">
        <v>200</v>
      </c>
      <c r="AP43" s="33">
        <f>10.5*22</f>
        <v>231</v>
      </c>
      <c r="AQ43" s="26">
        <f t="shared" ref="AQ43:AQ51" si="446">AO43+AP43</f>
        <v>431</v>
      </c>
      <c r="AR43" s="3"/>
      <c r="AS43" s="26">
        <v>6</v>
      </c>
      <c r="AT43" s="3"/>
      <c r="AU43" s="26">
        <v>47</v>
      </c>
      <c r="AV43" s="26">
        <v>152</v>
      </c>
      <c r="AW43" s="26">
        <v>190</v>
      </c>
      <c r="AX43" s="35">
        <f t="shared" ref="AX43:AX51" si="447">AD43/AU43</f>
        <v>53.361702127659576</v>
      </c>
      <c r="AY43" s="35">
        <f t="shared" ref="AY43:AY51" si="448">AD43/AV43</f>
        <v>16.5</v>
      </c>
      <c r="AZ43" s="35">
        <f t="shared" ref="AZ43:AZ51" si="449">L43/AX43</f>
        <v>39.166666666666664</v>
      </c>
      <c r="BA43" s="35">
        <f t="shared" ref="BA43:BA51" si="450">L43/AY43</f>
        <v>126.66666666666667</v>
      </c>
      <c r="BB43" s="3"/>
      <c r="BC43" s="36" t="s">
        <v>78</v>
      </c>
      <c r="BD43" s="26">
        <f t="shared" ref="BD43:BD51" si="451">AH43</f>
        <v>2090</v>
      </c>
      <c r="BE43" s="37">
        <f t="shared" ref="BE43:BE51" si="452">(AC43-(2*BQ43)-R43)</f>
        <v>2496</v>
      </c>
      <c r="BF43" s="37" t="e" vm="1">
        <f>'[1]4 - Flächen'!AJ43</f>
        <v>#VALUE!</v>
      </c>
      <c r="BG43" s="26" t="e" vm="2">
        <f t="shared" ref="BG43:BG51" si="453">BF43-BL43-((2.2*1.1)*BJ43)</f>
        <v>#VALUE!</v>
      </c>
      <c r="BH43" s="26">
        <f t="shared" ref="BH43:BH51" si="454">Q43</f>
        <v>1045</v>
      </c>
      <c r="BI43" s="37" t="e" vm="2">
        <f t="shared" ref="BI43:BI51" si="455">(BF43/Y43)*0.5</f>
        <v>#VALUE!</v>
      </c>
      <c r="BJ43" s="38">
        <f t="shared" ref="BJ43:BJ52" si="456">AS43+AY43</f>
        <v>22.5</v>
      </c>
      <c r="BK43" s="39">
        <v>0.2</v>
      </c>
      <c r="BL43" s="26">
        <f t="shared" ref="BL43:BL51" si="457">AD43*BK43</f>
        <v>501.6</v>
      </c>
      <c r="BM43" s="26">
        <f t="shared" ref="BM43:BM51" si="458">(25.9)*AY43</f>
        <v>427.34999999999997</v>
      </c>
      <c r="BN43" s="26">
        <f t="shared" ref="BN43:BN51" si="459">(99.73-(7*2))*AY43</f>
        <v>1414.5450000000001</v>
      </c>
      <c r="BO43" s="26">
        <f t="shared" ref="BO43:BO51" si="460">7*AY43</f>
        <v>115.5</v>
      </c>
      <c r="BP43" s="37" cm="1">
        <f t="array" ref="BP43">BE43 - _xlfn.IFS(
    _xlfn.XOR(Y43 &lt; 2.5, Y43 = 2.5), 0.5 * AH43,
    _xlfn.XOR(Y43 &lt; 2.5, Y43 = 2.5) = FALSE, 0
)</f>
        <v>1451</v>
      </c>
      <c r="BQ43" s="37">
        <f t="shared" ref="BQ43:BQ51" si="461">(Y43-0.5)*AS43</f>
        <v>6</v>
      </c>
      <c r="BR43" s="37" t="e" vm="1">
        <f>'[1]4 - Flächen'!AI43</f>
        <v>#VALUE!</v>
      </c>
      <c r="BS43" s="26"/>
      <c r="BT43" s="37">
        <f t="shared" ref="BT43:BT51" si="462">0.31*AD43</f>
        <v>777.48</v>
      </c>
      <c r="BU43" s="37">
        <f t="shared" ref="BU43:BU51" si="463">5.87*AD43</f>
        <v>14721.960000000001</v>
      </c>
      <c r="BV43" s="37">
        <f t="shared" ref="BV43:BV51" si="464">57*AY43</f>
        <v>940.5</v>
      </c>
      <c r="BW43" s="37">
        <f t="shared" ref="BW43:BW51" si="465">28*AY43</f>
        <v>462</v>
      </c>
      <c r="BX43" s="26"/>
      <c r="BY43" s="26">
        <f t="shared" ref="BY43:BY51" si="466">IF(Y43&gt;3,AS43,0)</f>
        <v>0</v>
      </c>
      <c r="BZ43" s="3"/>
      <c r="CA43" s="40">
        <f t="shared" ref="CA43:CA51" si="467">(34.4*365*$AD43)/1000</f>
        <v>31490.448</v>
      </c>
      <c r="CB43" s="43">
        <v>15</v>
      </c>
      <c r="CC43" s="40">
        <f t="shared" ref="CC43:CC51" si="468">$AD43*CB43+($CB43)</f>
        <v>37635</v>
      </c>
      <c r="CD43" s="41">
        <f t="shared" ref="CD43:CD51" si="469">((CC43-$CB43)/1900)+($CB43/8760)</f>
        <v>19.801712328767124</v>
      </c>
      <c r="CE43" s="42">
        <f t="shared" ref="CE43:CE51" si="470">((380*$CG43)/1000)/$AD43</f>
        <v>0.19317675637599999</v>
      </c>
      <c r="CF43" s="40" t="e">
        <f t="shared" ref="CF43:CF51" si="471">$CD43/$CU43</f>
        <v>#DIV/0!</v>
      </c>
      <c r="CG43" s="40">
        <f>0.3812699139*AC43</f>
        <v>1274.9665920815999</v>
      </c>
      <c r="CH43" s="43">
        <v>30</v>
      </c>
      <c r="CI43" s="40">
        <f t="shared" ref="CI43:CI51" si="472">$AD43*CH43+($CB43)</f>
        <v>75255</v>
      </c>
      <c r="CJ43" s="41">
        <f t="shared" ref="CJ43:CJ51" si="473">((CI43-$CB43)/1900)+($CB43/8760)</f>
        <v>39.601712328767128</v>
      </c>
      <c r="CK43" s="42">
        <f t="shared" ref="CK43:CK51" si="474">((380*$CM43)/1000)/$AD43</f>
        <v>0.21784963754933334</v>
      </c>
      <c r="CL43" s="40" t="e">
        <f t="shared" ref="CL43:CL51" si="475">$CJ43/$CU43</f>
        <v>#DIV/0!</v>
      </c>
      <c r="CM43" s="40">
        <f>0.4299663899*AC43</f>
        <v>1437.8076078256001</v>
      </c>
      <c r="CN43" s="43">
        <v>70</v>
      </c>
      <c r="CO43" s="40">
        <f t="shared" ref="CO43:CO51" si="476">$AD43*CN43+($CB43)</f>
        <v>175575</v>
      </c>
      <c r="CP43" s="41">
        <f t="shared" ref="CP43:CP51" si="477">((CO43-$CB43)/1900)+($CB43/8760)</f>
        <v>92.401712328767132</v>
      </c>
      <c r="CQ43" s="42">
        <f t="shared" ref="CQ43:CQ51" si="478">((380*$CS43)/1000)/$AD43</f>
        <v>0.26684070941599997</v>
      </c>
      <c r="CR43" s="40" t="e">
        <f t="shared" ref="CR43:CR51" si="479">$CP43/$CU43</f>
        <v>#DIV/0!</v>
      </c>
      <c r="CS43" s="40">
        <f>0.5266592949*AC43</f>
        <v>1761.1486821455999</v>
      </c>
      <c r="CT43" s="44">
        <v>3.05</v>
      </c>
      <c r="CU43" s="3"/>
      <c r="CV43" s="40">
        <f t="shared" ref="CV43:CV51" si="480">(34.4*365*$AD43)/1000</f>
        <v>31490.448</v>
      </c>
      <c r="CW43" s="40">
        <v>15</v>
      </c>
      <c r="CX43" s="40">
        <f t="shared" ref="CX43:CX51" si="481">$AD43*CW43+($CW43)</f>
        <v>37635</v>
      </c>
      <c r="CY43" s="41">
        <f t="shared" ref="CY43:CY51" si="482">((CX43-$CW43)/1900)+($CW43/8760)</f>
        <v>19.801712328767124</v>
      </c>
      <c r="CZ43" s="42">
        <f t="shared" ref="CZ43:CZ51" si="483">((380*$DB43)/1000)/$AD43</f>
        <v>2.9927653049546663</v>
      </c>
      <c r="DA43" s="40" t="e">
        <f t="shared" ref="DA43:DA51" si="484">$CY43/$DP43</f>
        <v>#DIV/0!</v>
      </c>
      <c r="DB43" s="21">
        <f>5.9067736282*AC43</f>
        <v>19752.251012700799</v>
      </c>
      <c r="DC43" s="43">
        <v>30</v>
      </c>
      <c r="DD43" s="40">
        <f t="shared" ref="DD43:DD51" si="485">$AD43*DC43+($CW43)</f>
        <v>75255</v>
      </c>
      <c r="DE43" s="41">
        <f t="shared" ref="DE43:DE51" si="486">((DD43-$CW43)/1900)+($CW43/8760)</f>
        <v>39.601712328767128</v>
      </c>
      <c r="DF43" s="42">
        <f t="shared" ref="DF43:DF51" si="487">((380*$DH43)/1000)/$AD43</f>
        <v>3.0306384807146665</v>
      </c>
      <c r="DG43" s="40" t="e">
        <f t="shared" ref="DG43:DG51" si="488">$DE43/$DP43</f>
        <v>#DIV/0!</v>
      </c>
      <c r="DH43" s="40">
        <f>5.9815233172*AC43</f>
        <v>20002.2139727168</v>
      </c>
      <c r="DI43" s="43">
        <v>70</v>
      </c>
      <c r="DJ43" s="40">
        <f t="shared" ref="DJ43:DJ51" si="489">$AD43*DI43+($CW43)</f>
        <v>175575</v>
      </c>
      <c r="DK43" s="41">
        <f t="shared" ref="DK43:DK51" si="490">((DJ43-$CW43)/1900)+($CW43/8760)</f>
        <v>92.401712328767132</v>
      </c>
      <c r="DL43" s="42">
        <f t="shared" ref="DL43:DL51" si="491">((380*$DN43)/1000)/$AD43</f>
        <v>3.1148123073146667</v>
      </c>
      <c r="DM43" s="40" t="e">
        <f t="shared" ref="DM43:DM51" si="492">$DK43/$DP43</f>
        <v>#DIV/0!</v>
      </c>
      <c r="DN43" s="40">
        <f>6.1476558697*AC43</f>
        <v>20557.761228276802</v>
      </c>
      <c r="DO43" s="44">
        <v>3.9</v>
      </c>
      <c r="DP43" s="7"/>
      <c r="DQ43" s="40">
        <f t="shared" ref="DQ43:DQ51" si="493">(34.4*365*$AD43)/1000</f>
        <v>31490.448</v>
      </c>
      <c r="DR43" s="40">
        <v>15</v>
      </c>
      <c r="DS43" s="40">
        <f t="shared" ref="DS43:DS51" si="494">$AD43*DR43+($DR43)</f>
        <v>37635</v>
      </c>
      <c r="DT43" s="41">
        <f t="shared" ref="DT43:DT51" si="495">((DS43-$DR43)/1900)+($DR43/8760)</f>
        <v>19.801712328767124</v>
      </c>
      <c r="DU43" s="42">
        <f t="shared" ref="DU43:DU51" si="496">((201*$DW43)/1000)/$AD43</f>
        <v>0.12618930495400002</v>
      </c>
      <c r="DV43" s="40">
        <f t="shared" ref="DV43:DV51" si="497">$DT43/0.9</f>
        <v>22.001902587519027</v>
      </c>
      <c r="DW43" s="40">
        <f>0.4708556155*AC43</f>
        <v>1574.541178232</v>
      </c>
      <c r="DX43" s="43">
        <v>30</v>
      </c>
      <c r="DY43" s="40">
        <f t="shared" ref="DY43:DY51" si="498">$AD43*DX43+($DR43)</f>
        <v>75255</v>
      </c>
      <c r="DZ43" s="41">
        <f t="shared" ref="DZ43:DZ51" si="499">((DY43-$DR43)/1900)+($DR43/8760)</f>
        <v>39.601712328767128</v>
      </c>
      <c r="EA43" s="42">
        <f t="shared" ref="EA43:EA51" si="500">((201*$EC43)/1000)/$AD43</f>
        <v>0.1335185377052</v>
      </c>
      <c r="EB43" s="40">
        <f t="shared" ref="EB43:EB51" si="501">$DZ43/0.9</f>
        <v>44.001902587519034</v>
      </c>
      <c r="EC43" s="40">
        <f>0.4982034989*AC43</f>
        <v>1665.9925003215999</v>
      </c>
      <c r="ED43" s="43">
        <v>70</v>
      </c>
      <c r="EE43" s="40">
        <f t="shared" ref="EE43:EE51" si="502">$AD43*ED43+($DR43)</f>
        <v>175575</v>
      </c>
      <c r="EF43" s="41">
        <f t="shared" ref="EF43:EF51" si="503">((EE43-$DR43)/1900)+($DR43/8760)</f>
        <v>92.401712328767132</v>
      </c>
      <c r="EG43" s="42">
        <f t="shared" ref="EG43:EG51" si="504">((201*$EI43)/1000)/$AD43</f>
        <v>0.1459836999712</v>
      </c>
      <c r="EH43" s="40">
        <f t="shared" ref="EH43:EH51" si="505">$EF43/0.9</f>
        <v>102.6685692541857</v>
      </c>
      <c r="EI43" s="40">
        <f>0.5447152984*AC43</f>
        <v>1821.5279578495999</v>
      </c>
      <c r="EJ43" s="44">
        <v>3.9</v>
      </c>
    </row>
    <row r="44" spans="1:140">
      <c r="A44" s="18" t="str">
        <f t="shared" si="0"/>
        <v>RgKu</v>
      </c>
      <c r="B44" s="19">
        <v>20</v>
      </c>
      <c r="C44" s="18" t="s">
        <v>87</v>
      </c>
      <c r="D44" s="18" t="s">
        <v>76</v>
      </c>
      <c r="E44" s="18" t="s">
        <v>79</v>
      </c>
      <c r="F44" s="3"/>
      <c r="G44" s="21">
        <v>10000</v>
      </c>
      <c r="H44" s="45">
        <v>8500</v>
      </c>
      <c r="I44" s="45">
        <v>600</v>
      </c>
      <c r="J44" s="45">
        <v>560</v>
      </c>
      <c r="K44" s="45">
        <v>340</v>
      </c>
      <c r="L44" s="45">
        <f>95*17</f>
        <v>1615</v>
      </c>
      <c r="M44" s="21">
        <f t="shared" si="430"/>
        <v>191.25</v>
      </c>
      <c r="N44" s="46">
        <f t="shared" si="431"/>
        <v>0.18062500000000001</v>
      </c>
      <c r="O44" s="177"/>
      <c r="P44" s="178"/>
      <c r="Q44" s="21">
        <f t="shared" si="432"/>
        <v>807.5</v>
      </c>
      <c r="R44" s="21">
        <f t="shared" si="433"/>
        <v>646</v>
      </c>
      <c r="S44" s="21">
        <f t="shared" si="4"/>
        <v>2422.5</v>
      </c>
      <c r="T44" s="3"/>
      <c r="U44" s="26">
        <f t="shared" si="434"/>
        <v>1806.25</v>
      </c>
      <c r="V44" s="27">
        <f t="shared" si="435"/>
        <v>0.18062500000000001</v>
      </c>
      <c r="W44" s="108">
        <f t="shared" si="436"/>
        <v>0.26137500000000002</v>
      </c>
      <c r="X44" s="3"/>
      <c r="Y44" s="29">
        <v>1.5</v>
      </c>
      <c r="Z44" s="26">
        <f t="shared" si="437"/>
        <v>2613.75</v>
      </c>
      <c r="AA44" s="26">
        <f t="shared" si="438"/>
        <v>2091</v>
      </c>
      <c r="AB44" s="26">
        <f t="shared" si="439"/>
        <v>3230</v>
      </c>
      <c r="AC44" s="26">
        <f t="shared" si="440"/>
        <v>2584</v>
      </c>
      <c r="AD44" s="26">
        <f t="shared" si="441"/>
        <v>1938</v>
      </c>
      <c r="AE44" s="26">
        <f t="shared" si="442"/>
        <v>31.875</v>
      </c>
      <c r="AF44" s="26">
        <f t="shared" si="443"/>
        <v>1906.125</v>
      </c>
      <c r="AG44" s="3"/>
      <c r="AH44" s="26">
        <f t="shared" si="14"/>
        <v>1615</v>
      </c>
      <c r="AI44" s="26">
        <f>(2*493.6)+(3*370.2)</f>
        <v>2097.8000000000002</v>
      </c>
      <c r="AJ44" s="26">
        <f>(2*322.2)+(3*276.6)</f>
        <v>1474.2</v>
      </c>
      <c r="AK44" s="26">
        <f t="shared" si="444"/>
        <v>5187</v>
      </c>
      <c r="AL44" s="26">
        <f>(2*2125)+(3*1593.7)</f>
        <v>9031.1</v>
      </c>
      <c r="AM44" s="31">
        <f t="shared" si="445"/>
        <v>0.57434863970059014</v>
      </c>
      <c r="AN44" s="3"/>
      <c r="AO44" s="21">
        <v>100</v>
      </c>
      <c r="AP44" s="114">
        <f>10.5*17</f>
        <v>178.5</v>
      </c>
      <c r="AQ44" s="26">
        <f t="shared" si="446"/>
        <v>278.5</v>
      </c>
      <c r="AR44" s="3"/>
      <c r="AS44" s="26">
        <v>5</v>
      </c>
      <c r="AT44" s="3"/>
      <c r="AU44" s="26">
        <v>47</v>
      </c>
      <c r="AV44" s="26">
        <v>152</v>
      </c>
      <c r="AW44" s="26">
        <v>190</v>
      </c>
      <c r="AX44" s="35">
        <f t="shared" si="447"/>
        <v>41.234042553191486</v>
      </c>
      <c r="AY44" s="35">
        <f t="shared" si="448"/>
        <v>12.75</v>
      </c>
      <c r="AZ44" s="35">
        <f t="shared" si="449"/>
        <v>39.166666666666671</v>
      </c>
      <c r="BA44" s="35">
        <f t="shared" si="450"/>
        <v>126.66666666666667</v>
      </c>
      <c r="BB44" s="3"/>
      <c r="BC44" s="36" t="s">
        <v>78</v>
      </c>
      <c r="BD44" s="26">
        <f t="shared" si="451"/>
        <v>1615</v>
      </c>
      <c r="BE44" s="37">
        <f t="shared" si="452"/>
        <v>1928</v>
      </c>
      <c r="BF44" s="37" t="e" vm="1">
        <f>'[1]4 - Flächen'!AJ44</f>
        <v>#VALUE!</v>
      </c>
      <c r="BG44" s="26" t="e" vm="2">
        <f t="shared" si="453"/>
        <v>#VALUE!</v>
      </c>
      <c r="BH44" s="26">
        <f t="shared" si="454"/>
        <v>807.5</v>
      </c>
      <c r="BI44" s="37" t="e" vm="2">
        <f t="shared" si="455"/>
        <v>#VALUE!</v>
      </c>
      <c r="BJ44" s="38">
        <f t="shared" si="456"/>
        <v>17.75</v>
      </c>
      <c r="BK44" s="39">
        <v>0.2</v>
      </c>
      <c r="BL44" s="26">
        <f t="shared" si="457"/>
        <v>387.6</v>
      </c>
      <c r="BM44" s="26">
        <f t="shared" si="458"/>
        <v>330.22499999999997</v>
      </c>
      <c r="BN44" s="26">
        <f t="shared" si="459"/>
        <v>1093.0575000000001</v>
      </c>
      <c r="BO44" s="26">
        <f t="shared" si="460"/>
        <v>89.25</v>
      </c>
      <c r="BP44" s="37" cm="1">
        <f t="array" ref="BP44">BE44 - _xlfn.IFS(
    _xlfn.XOR(Y44 &lt; 2.5, Y44 = 2.5), 0.5 * AH44,
    _xlfn.XOR(Y44 &lt; 2.5, Y44 = 2.5) = FALSE, 0
)</f>
        <v>1120.5</v>
      </c>
      <c r="BQ44" s="37">
        <f t="shared" si="461"/>
        <v>5</v>
      </c>
      <c r="BR44" s="37" t="e" vm="1">
        <f>'[1]4 - Flächen'!AI44</f>
        <v>#VALUE!</v>
      </c>
      <c r="BS44" s="26"/>
      <c r="BT44" s="37">
        <f t="shared" si="462"/>
        <v>600.78</v>
      </c>
      <c r="BU44" s="37">
        <f t="shared" si="463"/>
        <v>11376.06</v>
      </c>
      <c r="BV44" s="37">
        <f t="shared" si="464"/>
        <v>726.75</v>
      </c>
      <c r="BW44" s="37">
        <f t="shared" si="465"/>
        <v>357</v>
      </c>
      <c r="BX44" s="26"/>
      <c r="BY44" s="26">
        <f t="shared" si="466"/>
        <v>0</v>
      </c>
      <c r="BZ44" s="3"/>
      <c r="CA44" s="40">
        <f t="shared" si="467"/>
        <v>24333.527999999998</v>
      </c>
      <c r="CB44" s="43">
        <v>15</v>
      </c>
      <c r="CC44" s="40">
        <f t="shared" si="468"/>
        <v>29085</v>
      </c>
      <c r="CD44" s="41">
        <f t="shared" si="469"/>
        <v>15.301712328767124</v>
      </c>
      <c r="CE44" s="42">
        <f t="shared" si="470"/>
        <v>0.1999692076853333</v>
      </c>
      <c r="CF44" s="40" t="e">
        <f t="shared" si="471"/>
        <v>#DIV/0!</v>
      </c>
      <c r="CG44" s="40">
        <f>0.3946760678*AC44</f>
        <v>1019.8429591951999</v>
      </c>
      <c r="CH44" s="43">
        <v>30</v>
      </c>
      <c r="CI44" s="40">
        <f t="shared" si="472"/>
        <v>58155</v>
      </c>
      <c r="CJ44" s="41">
        <f t="shared" si="473"/>
        <v>30.601712328767125</v>
      </c>
      <c r="CK44" s="42">
        <f t="shared" si="474"/>
        <v>0.22562815871200001</v>
      </c>
      <c r="CL44" s="40" t="e">
        <f t="shared" si="475"/>
        <v>#DIV/0!</v>
      </c>
      <c r="CM44" s="40">
        <f>0.4453187343*AC44</f>
        <v>1150.7036094312</v>
      </c>
      <c r="CN44" s="43">
        <v>70</v>
      </c>
      <c r="CO44" s="40">
        <f t="shared" si="476"/>
        <v>135675</v>
      </c>
      <c r="CP44" s="41">
        <f t="shared" si="477"/>
        <v>71.401712328767132</v>
      </c>
      <c r="CQ44" s="42">
        <f t="shared" si="478"/>
        <v>0.2661415844533333</v>
      </c>
      <c r="CR44" s="40" t="e">
        <f t="shared" si="479"/>
        <v>#DIV/0!</v>
      </c>
      <c r="CS44" s="40">
        <f>0.525279443*AC44</f>
        <v>1357.3220807119999</v>
      </c>
      <c r="CT44" s="44">
        <v>3.05</v>
      </c>
      <c r="CU44" s="3"/>
      <c r="CV44" s="40">
        <f t="shared" si="480"/>
        <v>24333.527999999998</v>
      </c>
      <c r="CW44" s="40">
        <v>15</v>
      </c>
      <c r="CX44" s="40">
        <f t="shared" si="481"/>
        <v>29085</v>
      </c>
      <c r="CY44" s="41">
        <f t="shared" si="482"/>
        <v>15.301712328767124</v>
      </c>
      <c r="CZ44" s="42">
        <f t="shared" si="483"/>
        <v>2.9636623049946662</v>
      </c>
      <c r="DA44" s="40" t="e">
        <f t="shared" si="484"/>
        <v>#DIV/0!</v>
      </c>
      <c r="DB44" s="21">
        <f>5.8493334967*AC44</f>
        <v>15114.6777554728</v>
      </c>
      <c r="DC44" s="43">
        <v>30</v>
      </c>
      <c r="DD44" s="40">
        <f t="shared" si="485"/>
        <v>58155</v>
      </c>
      <c r="DE44" s="41">
        <f t="shared" si="486"/>
        <v>30.601712328767125</v>
      </c>
      <c r="DF44" s="42">
        <f t="shared" si="487"/>
        <v>3.0037727732640001</v>
      </c>
      <c r="DG44" s="40" t="e">
        <f t="shared" si="488"/>
        <v>#DIV/0!</v>
      </c>
      <c r="DH44" s="40">
        <f>5.9284988946*AC44</f>
        <v>15319.241143646399</v>
      </c>
      <c r="DI44" s="43">
        <v>70</v>
      </c>
      <c r="DJ44" s="40">
        <f t="shared" si="489"/>
        <v>135675</v>
      </c>
      <c r="DK44" s="41">
        <f t="shared" si="490"/>
        <v>71.401712328767132</v>
      </c>
      <c r="DL44" s="42">
        <f t="shared" si="491"/>
        <v>3.0794523222026666</v>
      </c>
      <c r="DM44" s="40" t="e">
        <f t="shared" si="492"/>
        <v>#DIV/0!</v>
      </c>
      <c r="DN44" s="40">
        <f>6.0778664254*AC44</f>
        <v>15705.2068432336</v>
      </c>
      <c r="DO44" s="44">
        <v>3.9</v>
      </c>
      <c r="DP44" s="7"/>
      <c r="DQ44" s="40">
        <f t="shared" si="493"/>
        <v>24333.527999999998</v>
      </c>
      <c r="DR44" s="40">
        <v>15</v>
      </c>
      <c r="DS44" s="40">
        <f t="shared" si="494"/>
        <v>29085</v>
      </c>
      <c r="DT44" s="41">
        <f t="shared" si="495"/>
        <v>15.301712328767124</v>
      </c>
      <c r="DU44" s="42">
        <f t="shared" si="496"/>
        <v>0.13024109221960001</v>
      </c>
      <c r="DV44" s="40">
        <f t="shared" si="497"/>
        <v>17.001902587519027</v>
      </c>
      <c r="DW44" s="40">
        <f>0.4859742247*AC44</f>
        <v>1255.7573966248001</v>
      </c>
      <c r="DX44" s="43">
        <v>30</v>
      </c>
      <c r="DY44" s="40">
        <f t="shared" si="498"/>
        <v>58155</v>
      </c>
      <c r="DZ44" s="41">
        <f t="shared" si="499"/>
        <v>30.601712328767125</v>
      </c>
      <c r="EA44" s="42">
        <f t="shared" si="500"/>
        <v>0.13874613750439999</v>
      </c>
      <c r="EB44" s="40">
        <f t="shared" si="501"/>
        <v>34.001902587519027</v>
      </c>
      <c r="EC44" s="40">
        <f>0.5177094683*AC44</f>
        <v>1337.7612660871998</v>
      </c>
      <c r="ED44" s="43">
        <v>70</v>
      </c>
      <c r="EE44" s="40">
        <f t="shared" si="502"/>
        <v>135675</v>
      </c>
      <c r="EF44" s="41">
        <f t="shared" si="503"/>
        <v>71.401712328767132</v>
      </c>
      <c r="EG44" s="42">
        <f t="shared" si="504"/>
        <v>0.14589201430359999</v>
      </c>
      <c r="EH44" s="40">
        <f t="shared" si="505"/>
        <v>79.335235920852369</v>
      </c>
      <c r="EI44" s="40">
        <f>0.5443731877*AC44</f>
        <v>1406.6603170168</v>
      </c>
      <c r="EJ44" s="44">
        <v>3.9</v>
      </c>
    </row>
    <row r="45" spans="1:140">
      <c r="A45" s="18" t="str">
        <f t="shared" si="0"/>
        <v>RgWe</v>
      </c>
      <c r="B45" s="19">
        <v>21</v>
      </c>
      <c r="C45" s="18" t="s">
        <v>87</v>
      </c>
      <c r="D45" s="18" t="s">
        <v>76</v>
      </c>
      <c r="E45" s="18" t="s">
        <v>80</v>
      </c>
      <c r="F45" s="3"/>
      <c r="G45" s="21">
        <v>10000</v>
      </c>
      <c r="H45" s="45">
        <v>8493</v>
      </c>
      <c r="I45" s="45">
        <v>764</v>
      </c>
      <c r="J45" s="45">
        <v>423</v>
      </c>
      <c r="K45" s="45">
        <v>320</v>
      </c>
      <c r="L45" s="45">
        <f>95*16</f>
        <v>1520</v>
      </c>
      <c r="M45" s="21">
        <f t="shared" si="430"/>
        <v>180</v>
      </c>
      <c r="N45" s="46">
        <f t="shared" si="431"/>
        <v>0.17</v>
      </c>
      <c r="O45" s="179"/>
      <c r="P45" s="180"/>
      <c r="Q45" s="21">
        <f t="shared" si="432"/>
        <v>760</v>
      </c>
      <c r="R45" s="21">
        <f t="shared" si="433"/>
        <v>608</v>
      </c>
      <c r="S45" s="21">
        <f t="shared" si="4"/>
        <v>2280</v>
      </c>
      <c r="T45" s="3"/>
      <c r="U45" s="26">
        <f t="shared" si="434"/>
        <v>1700</v>
      </c>
      <c r="V45" s="27">
        <f t="shared" si="435"/>
        <v>0.17</v>
      </c>
      <c r="W45" s="108">
        <f t="shared" si="436"/>
        <v>0.246</v>
      </c>
      <c r="X45" s="3"/>
      <c r="Y45" s="29">
        <v>1.5</v>
      </c>
      <c r="Z45" s="26">
        <f t="shared" si="437"/>
        <v>2460</v>
      </c>
      <c r="AA45" s="26">
        <f t="shared" si="438"/>
        <v>1968</v>
      </c>
      <c r="AB45" s="26">
        <f t="shared" si="439"/>
        <v>3040</v>
      </c>
      <c r="AC45" s="26">
        <f t="shared" si="440"/>
        <v>2432</v>
      </c>
      <c r="AD45" s="26">
        <f t="shared" si="441"/>
        <v>1824</v>
      </c>
      <c r="AE45" s="26">
        <f t="shared" si="442"/>
        <v>30</v>
      </c>
      <c r="AF45" s="26">
        <f t="shared" si="443"/>
        <v>1794</v>
      </c>
      <c r="AG45" s="3"/>
      <c r="AH45" s="26">
        <f t="shared" si="14"/>
        <v>1520</v>
      </c>
      <c r="AI45" s="26">
        <f>(4*493.6)</f>
        <v>1974.4</v>
      </c>
      <c r="AJ45" s="26">
        <f>(4*322.2)</f>
        <v>1288.8</v>
      </c>
      <c r="AK45" s="26">
        <f t="shared" si="444"/>
        <v>4783.2</v>
      </c>
      <c r="AL45" s="26">
        <f>(4*2125)</f>
        <v>8500</v>
      </c>
      <c r="AM45" s="31">
        <f t="shared" si="445"/>
        <v>0.56272941176470581</v>
      </c>
      <c r="AN45" s="3"/>
      <c r="AO45" s="21">
        <v>90</v>
      </c>
      <c r="AP45" s="114">
        <f>10.5*16</f>
        <v>168</v>
      </c>
      <c r="AQ45" s="26">
        <f t="shared" si="446"/>
        <v>258</v>
      </c>
      <c r="AR45" s="3"/>
      <c r="AS45" s="26">
        <v>4</v>
      </c>
      <c r="AT45" s="3"/>
      <c r="AU45" s="26">
        <v>47</v>
      </c>
      <c r="AV45" s="26">
        <v>152</v>
      </c>
      <c r="AW45" s="26">
        <v>190</v>
      </c>
      <c r="AX45" s="35">
        <f t="shared" si="447"/>
        <v>38.808510638297875</v>
      </c>
      <c r="AY45" s="35">
        <f t="shared" si="448"/>
        <v>12</v>
      </c>
      <c r="AZ45" s="35">
        <f t="shared" si="449"/>
        <v>39.166666666666664</v>
      </c>
      <c r="BA45" s="35">
        <f t="shared" si="450"/>
        <v>126.66666666666667</v>
      </c>
      <c r="BB45" s="3"/>
      <c r="BC45" s="36" t="s">
        <v>78</v>
      </c>
      <c r="BD45" s="26">
        <f t="shared" si="451"/>
        <v>1520</v>
      </c>
      <c r="BE45" s="37">
        <f t="shared" si="452"/>
        <v>1816</v>
      </c>
      <c r="BF45" s="37" t="e" vm="1">
        <f>'[1]4 - Flächen'!AJ45</f>
        <v>#VALUE!</v>
      </c>
      <c r="BG45" s="26" t="e" vm="2">
        <f t="shared" si="453"/>
        <v>#VALUE!</v>
      </c>
      <c r="BH45" s="26">
        <f t="shared" si="454"/>
        <v>760</v>
      </c>
      <c r="BI45" s="37" t="e" vm="2">
        <f t="shared" si="455"/>
        <v>#VALUE!</v>
      </c>
      <c r="BJ45" s="38">
        <f t="shared" si="456"/>
        <v>16</v>
      </c>
      <c r="BK45" s="39">
        <v>0.2</v>
      </c>
      <c r="BL45" s="26">
        <f t="shared" si="457"/>
        <v>364.8</v>
      </c>
      <c r="BM45" s="26">
        <f t="shared" si="458"/>
        <v>310.79999999999995</v>
      </c>
      <c r="BN45" s="26">
        <f t="shared" si="459"/>
        <v>1028.76</v>
      </c>
      <c r="BO45" s="26">
        <f t="shared" si="460"/>
        <v>84</v>
      </c>
      <c r="BP45" s="37" cm="1">
        <f t="array" ref="BP45">BE45 - _xlfn.IFS(
    _xlfn.XOR(Y45 &lt; 2.5, Y45 = 2.5), 0.5 * AH45,
    _xlfn.XOR(Y45 &lt; 2.5, Y45 = 2.5) = FALSE, 0
)</f>
        <v>1056</v>
      </c>
      <c r="BQ45" s="37">
        <f t="shared" si="461"/>
        <v>4</v>
      </c>
      <c r="BR45" s="37" t="e" vm="1">
        <f>'[1]4 - Flächen'!AI45</f>
        <v>#VALUE!</v>
      </c>
      <c r="BS45" s="26"/>
      <c r="BT45" s="37">
        <f t="shared" si="462"/>
        <v>565.43999999999994</v>
      </c>
      <c r="BU45" s="37">
        <f t="shared" si="463"/>
        <v>10706.880000000001</v>
      </c>
      <c r="BV45" s="37">
        <f t="shared" si="464"/>
        <v>684</v>
      </c>
      <c r="BW45" s="37">
        <f t="shared" si="465"/>
        <v>336</v>
      </c>
      <c r="BX45" s="26"/>
      <c r="BY45" s="26">
        <f t="shared" si="466"/>
        <v>0</v>
      </c>
      <c r="BZ45" s="3"/>
      <c r="CA45" s="40">
        <f t="shared" si="467"/>
        <v>22902.144</v>
      </c>
      <c r="CB45" s="43">
        <v>15</v>
      </c>
      <c r="CC45" s="40">
        <f t="shared" si="468"/>
        <v>27375</v>
      </c>
      <c r="CD45" s="41">
        <f t="shared" si="469"/>
        <v>14.401712328767124</v>
      </c>
      <c r="CE45" s="42">
        <f t="shared" si="470"/>
        <v>0.20023870697866666</v>
      </c>
      <c r="CF45" s="40" t="e">
        <f t="shared" si="471"/>
        <v>#DIV/0!</v>
      </c>
      <c r="CG45" s="40">
        <f>0.3952079743*AC45</f>
        <v>961.14579349759993</v>
      </c>
      <c r="CH45" s="43">
        <v>30</v>
      </c>
      <c r="CI45" s="40">
        <f t="shared" si="472"/>
        <v>54735</v>
      </c>
      <c r="CJ45" s="41">
        <f t="shared" si="473"/>
        <v>28.801712328767124</v>
      </c>
      <c r="CK45" s="42">
        <f t="shared" si="474"/>
        <v>0.22948958966400002</v>
      </c>
      <c r="CL45" s="40" t="e">
        <f t="shared" si="475"/>
        <v>#DIV/0!</v>
      </c>
      <c r="CM45" s="40">
        <f>0.4529399796*AC45</f>
        <v>1101.5500303872</v>
      </c>
      <c r="CN45" s="43">
        <v>70</v>
      </c>
      <c r="CO45" s="40">
        <f t="shared" si="476"/>
        <v>127695</v>
      </c>
      <c r="CP45" s="41">
        <f t="shared" si="477"/>
        <v>67.20171232876713</v>
      </c>
      <c r="CQ45" s="42">
        <f t="shared" si="478"/>
        <v>0.27132111790933333</v>
      </c>
      <c r="CR45" s="40" t="e">
        <f t="shared" si="479"/>
        <v>#DIV/0!</v>
      </c>
      <c r="CS45" s="40">
        <f>0.5355022064*AC45</f>
        <v>1302.3413659647999</v>
      </c>
      <c r="CT45" s="44">
        <v>3.05</v>
      </c>
      <c r="CU45" s="3"/>
      <c r="CV45" s="40">
        <f t="shared" si="480"/>
        <v>22902.144</v>
      </c>
      <c r="CW45" s="40">
        <v>15</v>
      </c>
      <c r="CX45" s="40">
        <f t="shared" si="481"/>
        <v>27375</v>
      </c>
      <c r="CY45" s="41">
        <f t="shared" si="482"/>
        <v>14.401712328767124</v>
      </c>
      <c r="CZ45" s="42">
        <f t="shared" si="483"/>
        <v>2.9634017166</v>
      </c>
      <c r="DA45" s="40" t="e">
        <f t="shared" si="484"/>
        <v>#DIV/0!</v>
      </c>
      <c r="DB45" s="21">
        <f>5.8488191775*AC45</f>
        <v>14224.32823968</v>
      </c>
      <c r="DC45" s="43">
        <v>30</v>
      </c>
      <c r="DD45" s="40">
        <f t="shared" si="485"/>
        <v>54735</v>
      </c>
      <c r="DE45" s="41">
        <f t="shared" si="486"/>
        <v>28.801712328767124</v>
      </c>
      <c r="DF45" s="42">
        <f t="shared" si="487"/>
        <v>3.0058449989413329</v>
      </c>
      <c r="DG45" s="40" t="e">
        <f t="shared" si="488"/>
        <v>#DIV/0!</v>
      </c>
      <c r="DH45" s="40">
        <f>5.9325888137*AC45</f>
        <v>14428.055994918399</v>
      </c>
      <c r="DI45" s="43">
        <v>70</v>
      </c>
      <c r="DJ45" s="40">
        <f t="shared" si="489"/>
        <v>127695</v>
      </c>
      <c r="DK45" s="41">
        <f t="shared" si="490"/>
        <v>67.20171232876713</v>
      </c>
      <c r="DL45" s="42">
        <f t="shared" si="491"/>
        <v>3.0828562595519995</v>
      </c>
      <c r="DM45" s="40" t="e">
        <f t="shared" si="492"/>
        <v>#DIV/0!</v>
      </c>
      <c r="DN45" s="40">
        <f>6.0845847228*AC45</f>
        <v>14797.710045849599</v>
      </c>
      <c r="DO45" s="44">
        <v>3.9</v>
      </c>
      <c r="DP45" s="7"/>
      <c r="DQ45" s="40">
        <f t="shared" si="493"/>
        <v>22902.144</v>
      </c>
      <c r="DR45" s="40">
        <v>15</v>
      </c>
      <c r="DS45" s="40">
        <f t="shared" si="494"/>
        <v>27375</v>
      </c>
      <c r="DT45" s="41">
        <f t="shared" si="495"/>
        <v>14.401712328767124</v>
      </c>
      <c r="DU45" s="42">
        <f t="shared" si="496"/>
        <v>0.1267620196408</v>
      </c>
      <c r="DV45" s="40">
        <f t="shared" si="497"/>
        <v>16.001902587519027</v>
      </c>
      <c r="DW45" s="40">
        <f>0.4729926106*AC45</f>
        <v>1150.3180289791999</v>
      </c>
      <c r="DX45" s="43">
        <v>30</v>
      </c>
      <c r="DY45" s="40">
        <f t="shared" si="498"/>
        <v>54735</v>
      </c>
      <c r="DZ45" s="41">
        <f t="shared" si="499"/>
        <v>28.801712328767124</v>
      </c>
      <c r="EA45" s="42">
        <f t="shared" si="500"/>
        <v>0.13745736171119999</v>
      </c>
      <c r="EB45" s="40">
        <f t="shared" si="501"/>
        <v>32.001902587519027</v>
      </c>
      <c r="EC45" s="40">
        <f>0.5129006034*AC45</f>
        <v>1247.3742674687999</v>
      </c>
      <c r="ED45" s="43">
        <v>70</v>
      </c>
      <c r="EE45" s="40">
        <f t="shared" si="502"/>
        <v>127695</v>
      </c>
      <c r="EF45" s="41">
        <f t="shared" si="503"/>
        <v>67.20171232876713</v>
      </c>
      <c r="EG45" s="42">
        <f t="shared" si="504"/>
        <v>0.14489602952879999</v>
      </c>
      <c r="EH45" s="40">
        <f t="shared" si="505"/>
        <v>74.668569254185698</v>
      </c>
      <c r="EI45" s="40">
        <f>0.5406568266*AC45</f>
        <v>1314.8774022912</v>
      </c>
      <c r="EJ45" s="44">
        <v>3.9</v>
      </c>
    </row>
    <row r="46" spans="1:140">
      <c r="A46" s="48" t="str">
        <f t="shared" si="0"/>
        <v>RmKr</v>
      </c>
      <c r="B46" s="49">
        <v>22</v>
      </c>
      <c r="C46" s="48" t="s">
        <v>87</v>
      </c>
      <c r="D46" s="48" t="s">
        <v>81</v>
      </c>
      <c r="E46" s="48" t="s">
        <v>77</v>
      </c>
      <c r="F46" s="3"/>
      <c r="G46" s="50">
        <v>10000</v>
      </c>
      <c r="H46" s="51">
        <v>7225</v>
      </c>
      <c r="I46" s="51">
        <v>1164</v>
      </c>
      <c r="J46" s="51">
        <v>931</v>
      </c>
      <c r="K46" s="51">
        <v>680</v>
      </c>
      <c r="L46" s="51">
        <v>2280</v>
      </c>
      <c r="M46" s="52">
        <f t="shared" si="430"/>
        <v>360</v>
      </c>
      <c r="N46" s="53">
        <f t="shared" si="431"/>
        <v>0.26400000000000001</v>
      </c>
      <c r="O46" s="54"/>
      <c r="P46" s="178"/>
      <c r="Q46" s="52">
        <f t="shared" si="432"/>
        <v>1140</v>
      </c>
      <c r="R46" s="52">
        <f t="shared" si="433"/>
        <v>912</v>
      </c>
      <c r="S46" s="52">
        <f t="shared" si="4"/>
        <v>3420</v>
      </c>
      <c r="T46" s="3"/>
      <c r="U46" s="58">
        <f t="shared" si="434"/>
        <v>2640</v>
      </c>
      <c r="V46" s="56">
        <f t="shared" si="435"/>
        <v>0.26400000000000001</v>
      </c>
      <c r="W46" s="110">
        <f t="shared" si="436"/>
        <v>0.49199999999999999</v>
      </c>
      <c r="X46" s="3"/>
      <c r="Y46" s="57">
        <v>2</v>
      </c>
      <c r="Z46" s="58">
        <f t="shared" si="437"/>
        <v>4920</v>
      </c>
      <c r="AA46" s="58">
        <f t="shared" si="438"/>
        <v>3936</v>
      </c>
      <c r="AB46" s="58">
        <f t="shared" si="439"/>
        <v>5700</v>
      </c>
      <c r="AC46" s="58">
        <f t="shared" si="440"/>
        <v>4560</v>
      </c>
      <c r="AD46" s="58">
        <f t="shared" si="441"/>
        <v>3648</v>
      </c>
      <c r="AE46" s="58">
        <f t="shared" si="442"/>
        <v>60</v>
      </c>
      <c r="AF46" s="58">
        <f t="shared" si="443"/>
        <v>3588</v>
      </c>
      <c r="AG46" s="3"/>
      <c r="AH46" s="58">
        <f t="shared" si="14"/>
        <v>2280</v>
      </c>
      <c r="AI46" s="51">
        <f>6*413.2</f>
        <v>2479.1999999999998</v>
      </c>
      <c r="AJ46" s="51">
        <f>6*548.2</f>
        <v>3289.2000000000003</v>
      </c>
      <c r="AK46" s="58">
        <f t="shared" si="444"/>
        <v>8048.4</v>
      </c>
      <c r="AL46" s="51">
        <f>6*2787.7</f>
        <v>16726.199999999997</v>
      </c>
      <c r="AM46" s="59">
        <f t="shared" si="445"/>
        <v>0.48118520644258717</v>
      </c>
      <c r="AN46" s="3"/>
      <c r="AO46" s="50">
        <v>200</v>
      </c>
      <c r="AP46" s="60">
        <f>10.5*24</f>
        <v>252</v>
      </c>
      <c r="AQ46" s="55">
        <f t="shared" si="446"/>
        <v>452</v>
      </c>
      <c r="AR46" s="3"/>
      <c r="AS46" s="55">
        <v>6</v>
      </c>
      <c r="AT46" s="3"/>
      <c r="AU46" s="58">
        <v>47</v>
      </c>
      <c r="AV46" s="58">
        <v>152</v>
      </c>
      <c r="AW46" s="58">
        <v>190</v>
      </c>
      <c r="AX46" s="62">
        <f t="shared" si="447"/>
        <v>77.61702127659575</v>
      </c>
      <c r="AY46" s="62">
        <f t="shared" si="448"/>
        <v>24</v>
      </c>
      <c r="AZ46" s="62">
        <f t="shared" si="449"/>
        <v>29.374999999999996</v>
      </c>
      <c r="BA46" s="62">
        <f t="shared" si="450"/>
        <v>95</v>
      </c>
      <c r="BB46" s="3"/>
      <c r="BC46" s="63" t="s">
        <v>78</v>
      </c>
      <c r="BD46" s="58">
        <f t="shared" si="451"/>
        <v>2280</v>
      </c>
      <c r="BE46" s="58">
        <f t="shared" si="452"/>
        <v>3630</v>
      </c>
      <c r="BF46" s="58" t="e" vm="1">
        <f>'[1]4 - Flächen'!AJ46</f>
        <v>#VALUE!</v>
      </c>
      <c r="BG46" s="58" t="e" vm="2">
        <f t="shared" si="453"/>
        <v>#VALUE!</v>
      </c>
      <c r="BH46" s="58">
        <f t="shared" si="454"/>
        <v>1140</v>
      </c>
      <c r="BI46" s="58" t="e" vm="2">
        <f t="shared" si="455"/>
        <v>#VALUE!</v>
      </c>
      <c r="BJ46" s="63">
        <f t="shared" si="456"/>
        <v>30</v>
      </c>
      <c r="BK46" s="64">
        <v>0.2</v>
      </c>
      <c r="BL46" s="58">
        <f t="shared" si="457"/>
        <v>729.6</v>
      </c>
      <c r="BM46" s="58">
        <f t="shared" si="458"/>
        <v>621.59999999999991</v>
      </c>
      <c r="BN46" s="58">
        <f t="shared" si="459"/>
        <v>2057.52</v>
      </c>
      <c r="BO46" s="58">
        <f t="shared" si="460"/>
        <v>168</v>
      </c>
      <c r="BP46" s="58" cm="1">
        <f t="array" ref="BP46">BE46 - _xlfn.IFS(
    _xlfn.XOR(Y46 &lt; 2.5, Y46 = 2.5), 0.5 * AH46,
    _xlfn.XOR(Y46 &lt; 2.5, Y46 = 2.5) = FALSE, 0
)</f>
        <v>2490</v>
      </c>
      <c r="BQ46" s="58">
        <f t="shared" si="461"/>
        <v>9</v>
      </c>
      <c r="BR46" s="58" t="e" vm="1">
        <f>'[1]4 - Flächen'!AI46</f>
        <v>#VALUE!</v>
      </c>
      <c r="BS46" s="26"/>
      <c r="BT46" s="58">
        <f t="shared" si="462"/>
        <v>1130.8799999999999</v>
      </c>
      <c r="BU46" s="58">
        <f t="shared" si="463"/>
        <v>21413.760000000002</v>
      </c>
      <c r="BV46" s="58">
        <f t="shared" si="464"/>
        <v>1368</v>
      </c>
      <c r="BW46" s="58">
        <f t="shared" si="465"/>
        <v>672</v>
      </c>
      <c r="BX46" s="58"/>
      <c r="BY46" s="58">
        <f t="shared" si="466"/>
        <v>0</v>
      </c>
      <c r="BZ46" s="3"/>
      <c r="CA46" s="65">
        <f t="shared" si="467"/>
        <v>45804.288</v>
      </c>
      <c r="CB46" s="68">
        <v>15</v>
      </c>
      <c r="CC46" s="65">
        <f t="shared" si="468"/>
        <v>54735</v>
      </c>
      <c r="CD46" s="66">
        <f t="shared" si="469"/>
        <v>28.801712328767124</v>
      </c>
      <c r="CE46" s="67">
        <f t="shared" si="470"/>
        <v>0.19068073575250005</v>
      </c>
      <c r="CF46" s="65" t="e">
        <f t="shared" si="471"/>
        <v>#DIV/0!</v>
      </c>
      <c r="CG46" s="65">
        <f>0.4014331279*AC46</f>
        <v>1830.5350632240002</v>
      </c>
      <c r="CH46" s="68">
        <v>30</v>
      </c>
      <c r="CI46" s="65">
        <f t="shared" si="472"/>
        <v>109455</v>
      </c>
      <c r="CJ46" s="66">
        <f t="shared" si="473"/>
        <v>57.601712328767128</v>
      </c>
      <c r="CK46" s="67">
        <f t="shared" si="474"/>
        <v>0.20596604698749998</v>
      </c>
      <c r="CL46" s="65" t="e">
        <f t="shared" si="475"/>
        <v>#DIV/0!</v>
      </c>
      <c r="CM46" s="65">
        <f>0.4336127305*AC46</f>
        <v>1977.2740510799999</v>
      </c>
      <c r="CN46" s="68">
        <v>70</v>
      </c>
      <c r="CO46" s="65">
        <f t="shared" si="476"/>
        <v>255375</v>
      </c>
      <c r="CP46" s="66">
        <f t="shared" si="477"/>
        <v>134.40171232876713</v>
      </c>
      <c r="CQ46" s="67">
        <f t="shared" si="478"/>
        <v>0.24819496001749999</v>
      </c>
      <c r="CR46" s="65" t="e">
        <f t="shared" si="479"/>
        <v>#DIV/0!</v>
      </c>
      <c r="CS46" s="65">
        <f>0.5225157053*AC46</f>
        <v>2382.6716161680001</v>
      </c>
      <c r="CT46" s="69">
        <v>3.05</v>
      </c>
      <c r="CU46" s="3"/>
      <c r="CV46" s="65">
        <f t="shared" si="480"/>
        <v>45804.288</v>
      </c>
      <c r="CW46" s="65">
        <v>15</v>
      </c>
      <c r="CX46" s="65">
        <f t="shared" si="481"/>
        <v>54735</v>
      </c>
      <c r="CY46" s="66">
        <f t="shared" si="482"/>
        <v>28.801712328767124</v>
      </c>
      <c r="CZ46" s="67">
        <f t="shared" si="483"/>
        <v>1.9688199738625001</v>
      </c>
      <c r="DA46" s="65" t="e">
        <f t="shared" si="484"/>
        <v>#DIV/0!</v>
      </c>
      <c r="DB46" s="50">
        <f>4.1448841555*AC46</f>
        <v>18900.67174908</v>
      </c>
      <c r="DC46" s="68">
        <v>30</v>
      </c>
      <c r="DD46" s="65">
        <f t="shared" si="485"/>
        <v>109455</v>
      </c>
      <c r="DE46" s="66">
        <f t="shared" si="486"/>
        <v>57.601712328767128</v>
      </c>
      <c r="DF46" s="67">
        <f t="shared" si="487"/>
        <v>1.9980856655025003</v>
      </c>
      <c r="DG46" s="65" t="e">
        <f t="shared" si="488"/>
        <v>#DIV/0!</v>
      </c>
      <c r="DH46" s="65">
        <f>4.2064961379*AC46</f>
        <v>19181.622388824002</v>
      </c>
      <c r="DI46" s="68">
        <v>70</v>
      </c>
      <c r="DJ46" s="65">
        <f t="shared" si="489"/>
        <v>255375</v>
      </c>
      <c r="DK46" s="66">
        <f t="shared" si="490"/>
        <v>134.40171232876713</v>
      </c>
      <c r="DL46" s="67">
        <f t="shared" si="491"/>
        <v>2.0732955776250002</v>
      </c>
      <c r="DM46" s="65" t="e">
        <f t="shared" si="492"/>
        <v>#DIV/0!</v>
      </c>
      <c r="DN46" s="65">
        <f>4.364832795*AC46</f>
        <v>19903.637545199999</v>
      </c>
      <c r="DO46" s="69">
        <v>3.9</v>
      </c>
      <c r="DP46" s="7"/>
      <c r="DQ46" s="65">
        <f t="shared" si="493"/>
        <v>45804.288</v>
      </c>
      <c r="DR46" s="65">
        <v>15</v>
      </c>
      <c r="DS46" s="65">
        <f t="shared" si="494"/>
        <v>54735</v>
      </c>
      <c r="DT46" s="66">
        <f t="shared" si="495"/>
        <v>28.801712328767124</v>
      </c>
      <c r="DU46" s="67">
        <f t="shared" si="496"/>
        <v>0.11627254710862499</v>
      </c>
      <c r="DV46" s="65">
        <f t="shared" si="497"/>
        <v>32.001902587519027</v>
      </c>
      <c r="DW46" s="65">
        <f>0.4627763069*AC46</f>
        <v>2110.2599594640001</v>
      </c>
      <c r="DX46" s="68">
        <v>30</v>
      </c>
      <c r="DY46" s="65">
        <f t="shared" si="498"/>
        <v>109455</v>
      </c>
      <c r="DZ46" s="66">
        <f t="shared" si="499"/>
        <v>57.601712328767128</v>
      </c>
      <c r="EA46" s="67">
        <f t="shared" si="500"/>
        <v>0.11984056604662501</v>
      </c>
      <c r="EB46" s="65">
        <f t="shared" si="501"/>
        <v>64.001902587519027</v>
      </c>
      <c r="EC46" s="65">
        <f>0.4769773773*AC46</f>
        <v>2175.0168404880001</v>
      </c>
      <c r="ED46" s="68">
        <v>70</v>
      </c>
      <c r="EE46" s="65">
        <f t="shared" si="502"/>
        <v>255375</v>
      </c>
      <c r="EF46" s="66">
        <f t="shared" si="503"/>
        <v>134.40171232876713</v>
      </c>
      <c r="EG46" s="67">
        <f t="shared" si="504"/>
        <v>0.12925183206562502</v>
      </c>
      <c r="EH46" s="65">
        <f t="shared" si="505"/>
        <v>149.33523592085237</v>
      </c>
      <c r="EI46" s="65">
        <f>0.5144351525*AC46</f>
        <v>2345.8242954000002</v>
      </c>
      <c r="EJ46" s="69">
        <v>3.9</v>
      </c>
    </row>
    <row r="47" spans="1:140">
      <c r="A47" s="48" t="str">
        <f t="shared" si="0"/>
        <v>RmKu</v>
      </c>
      <c r="B47" s="49">
        <v>23</v>
      </c>
      <c r="C47" s="48" t="s">
        <v>87</v>
      </c>
      <c r="D47" s="48" t="s">
        <v>81</v>
      </c>
      <c r="E47" s="48" t="s">
        <v>79</v>
      </c>
      <c r="F47" s="3"/>
      <c r="G47" s="50">
        <v>10000</v>
      </c>
      <c r="H47" s="51">
        <v>8500</v>
      </c>
      <c r="I47" s="51">
        <v>600</v>
      </c>
      <c r="J47" s="51">
        <v>560</v>
      </c>
      <c r="K47" s="51">
        <v>340</v>
      </c>
      <c r="L47" s="51">
        <v>1805</v>
      </c>
      <c r="M47" s="52">
        <f t="shared" si="430"/>
        <v>285</v>
      </c>
      <c r="N47" s="53">
        <f t="shared" si="431"/>
        <v>0.20899999999999999</v>
      </c>
      <c r="O47" s="177"/>
      <c r="P47" s="178"/>
      <c r="Q47" s="52">
        <f t="shared" si="432"/>
        <v>902.5</v>
      </c>
      <c r="R47" s="52">
        <f t="shared" si="433"/>
        <v>722</v>
      </c>
      <c r="S47" s="52">
        <f t="shared" si="4"/>
        <v>2707.5</v>
      </c>
      <c r="T47" s="3"/>
      <c r="U47" s="58">
        <f t="shared" si="434"/>
        <v>2090</v>
      </c>
      <c r="V47" s="56">
        <f t="shared" si="435"/>
        <v>0.20899999999999999</v>
      </c>
      <c r="W47" s="110">
        <f t="shared" si="436"/>
        <v>0.38950000000000001</v>
      </c>
      <c r="X47" s="3"/>
      <c r="Y47" s="57">
        <v>2</v>
      </c>
      <c r="Z47" s="58">
        <f t="shared" si="437"/>
        <v>3895</v>
      </c>
      <c r="AA47" s="58">
        <f t="shared" si="438"/>
        <v>3116</v>
      </c>
      <c r="AB47" s="58">
        <f t="shared" si="439"/>
        <v>4512.5</v>
      </c>
      <c r="AC47" s="58">
        <f t="shared" si="440"/>
        <v>3610</v>
      </c>
      <c r="AD47" s="58">
        <f t="shared" si="441"/>
        <v>2888</v>
      </c>
      <c r="AE47" s="58">
        <f t="shared" si="442"/>
        <v>47.5</v>
      </c>
      <c r="AF47" s="58">
        <f t="shared" si="443"/>
        <v>2840.5</v>
      </c>
      <c r="AG47" s="3"/>
      <c r="AH47" s="58">
        <f t="shared" si="14"/>
        <v>1805</v>
      </c>
      <c r="AI47" s="51">
        <f>(3*413.2)+(1*723.1)</f>
        <v>1962.6999999999998</v>
      </c>
      <c r="AJ47" s="51">
        <f>(3*548.2)+(1*821.8)</f>
        <v>2466.4</v>
      </c>
      <c r="AK47" s="58">
        <f t="shared" si="444"/>
        <v>6234.1</v>
      </c>
      <c r="AL47" s="51">
        <f>(3*2787.7)+(1*4878.4)</f>
        <v>13241.499999999998</v>
      </c>
      <c r="AM47" s="59">
        <f t="shared" si="445"/>
        <v>0.47080013593626108</v>
      </c>
      <c r="AN47" s="3"/>
      <c r="AO47" s="50">
        <v>100</v>
      </c>
      <c r="AP47" s="115">
        <f>10.5*19</f>
        <v>199.5</v>
      </c>
      <c r="AQ47" s="55">
        <f t="shared" si="446"/>
        <v>299.5</v>
      </c>
      <c r="AR47" s="3"/>
      <c r="AS47" s="55">
        <v>4</v>
      </c>
      <c r="AT47" s="3"/>
      <c r="AU47" s="58">
        <v>47</v>
      </c>
      <c r="AV47" s="58">
        <v>152</v>
      </c>
      <c r="AW47" s="58">
        <v>190</v>
      </c>
      <c r="AX47" s="62">
        <f t="shared" si="447"/>
        <v>61.446808510638299</v>
      </c>
      <c r="AY47" s="62">
        <f t="shared" si="448"/>
        <v>19</v>
      </c>
      <c r="AZ47" s="62">
        <f t="shared" si="449"/>
        <v>29.375</v>
      </c>
      <c r="BA47" s="62">
        <f t="shared" si="450"/>
        <v>95</v>
      </c>
      <c r="BB47" s="3"/>
      <c r="BC47" s="63" t="s">
        <v>78</v>
      </c>
      <c r="BD47" s="58">
        <f t="shared" si="451"/>
        <v>1805</v>
      </c>
      <c r="BE47" s="58">
        <f t="shared" si="452"/>
        <v>2876</v>
      </c>
      <c r="BF47" s="58" t="e" vm="1">
        <f>'[1]4 - Flächen'!AJ47</f>
        <v>#VALUE!</v>
      </c>
      <c r="BG47" s="58" t="e" vm="2">
        <f t="shared" si="453"/>
        <v>#VALUE!</v>
      </c>
      <c r="BH47" s="58">
        <f t="shared" si="454"/>
        <v>902.5</v>
      </c>
      <c r="BI47" s="58" t="e" vm="2">
        <f t="shared" si="455"/>
        <v>#VALUE!</v>
      </c>
      <c r="BJ47" s="63">
        <f t="shared" si="456"/>
        <v>23</v>
      </c>
      <c r="BK47" s="64">
        <v>0.2</v>
      </c>
      <c r="BL47" s="58">
        <f t="shared" si="457"/>
        <v>577.6</v>
      </c>
      <c r="BM47" s="58">
        <f t="shared" si="458"/>
        <v>492.09999999999997</v>
      </c>
      <c r="BN47" s="58">
        <f t="shared" si="459"/>
        <v>1628.8700000000001</v>
      </c>
      <c r="BO47" s="58">
        <f t="shared" si="460"/>
        <v>133</v>
      </c>
      <c r="BP47" s="58" cm="1">
        <f t="array" ref="BP47">BE47 - _xlfn.IFS(
    _xlfn.XOR(Y47 &lt; 2.5, Y47 = 2.5), 0.5 * AH47,
    _xlfn.XOR(Y47 &lt; 2.5, Y47 = 2.5) = FALSE, 0
)</f>
        <v>1973.5</v>
      </c>
      <c r="BQ47" s="58">
        <f t="shared" si="461"/>
        <v>6</v>
      </c>
      <c r="BR47" s="58" t="e" vm="1">
        <f>'[1]4 - Flächen'!AI47</f>
        <v>#VALUE!</v>
      </c>
      <c r="BS47" s="26"/>
      <c r="BT47" s="58">
        <f t="shared" si="462"/>
        <v>895.28</v>
      </c>
      <c r="BU47" s="58">
        <f t="shared" si="463"/>
        <v>16952.560000000001</v>
      </c>
      <c r="BV47" s="58">
        <f t="shared" si="464"/>
        <v>1083</v>
      </c>
      <c r="BW47" s="58">
        <f t="shared" si="465"/>
        <v>532</v>
      </c>
      <c r="BX47" s="58"/>
      <c r="BY47" s="58">
        <f t="shared" si="466"/>
        <v>0</v>
      </c>
      <c r="BZ47" s="3"/>
      <c r="CA47" s="65">
        <f t="shared" si="467"/>
        <v>36261.728000000003</v>
      </c>
      <c r="CB47" s="68">
        <v>15</v>
      </c>
      <c r="CC47" s="65">
        <f t="shared" si="468"/>
        <v>43335</v>
      </c>
      <c r="CD47" s="66">
        <f t="shared" si="469"/>
        <v>22.801712328767124</v>
      </c>
      <c r="CE47" s="67">
        <f t="shared" si="470"/>
        <v>0.18311435577750002</v>
      </c>
      <c r="CF47" s="65" t="e">
        <f t="shared" si="471"/>
        <v>#DIV/0!</v>
      </c>
      <c r="CG47" s="65">
        <f>0.3855039069*AC47</f>
        <v>1391.6691039090001</v>
      </c>
      <c r="CH47" s="68">
        <v>30</v>
      </c>
      <c r="CI47" s="65">
        <f t="shared" si="472"/>
        <v>86655</v>
      </c>
      <c r="CJ47" s="66">
        <f t="shared" si="473"/>
        <v>45.601712328767128</v>
      </c>
      <c r="CK47" s="67">
        <f t="shared" si="474"/>
        <v>0.19905629072</v>
      </c>
      <c r="CL47" s="65" t="e">
        <f t="shared" si="475"/>
        <v>#DIV/0!</v>
      </c>
      <c r="CM47" s="65">
        <f>0.4190658752*AC47</f>
        <v>1512.8278094719999</v>
      </c>
      <c r="CN47" s="68">
        <v>70</v>
      </c>
      <c r="CO47" s="65">
        <f t="shared" si="476"/>
        <v>202175</v>
      </c>
      <c r="CP47" s="66">
        <f t="shared" si="477"/>
        <v>106.40171232876713</v>
      </c>
      <c r="CQ47" s="67">
        <f t="shared" si="478"/>
        <v>0.27496941079749998</v>
      </c>
      <c r="CR47" s="65" t="e">
        <f t="shared" si="479"/>
        <v>#DIV/0!</v>
      </c>
      <c r="CS47" s="65">
        <f>0.5788829701*AC47</f>
        <v>2089.7675220609999</v>
      </c>
      <c r="CT47" s="69">
        <v>3.05</v>
      </c>
      <c r="CU47" s="3"/>
      <c r="CV47" s="65">
        <f t="shared" si="480"/>
        <v>36261.728000000003</v>
      </c>
      <c r="CW47" s="65">
        <v>15</v>
      </c>
      <c r="CX47" s="65">
        <f t="shared" si="481"/>
        <v>43335</v>
      </c>
      <c r="CY47" s="66">
        <f t="shared" si="482"/>
        <v>22.801712328767124</v>
      </c>
      <c r="CZ47" s="67">
        <f t="shared" si="483"/>
        <v>1.939997207515</v>
      </c>
      <c r="DA47" s="65" t="e">
        <f t="shared" si="484"/>
        <v>#DIV/0!</v>
      </c>
      <c r="DB47" s="50">
        <f>4.0842046474*AC47</f>
        <v>14743.978777114</v>
      </c>
      <c r="DC47" s="68">
        <v>30</v>
      </c>
      <c r="DD47" s="65">
        <f t="shared" si="485"/>
        <v>86655</v>
      </c>
      <c r="DE47" s="66">
        <f t="shared" si="486"/>
        <v>45.601712328767128</v>
      </c>
      <c r="DF47" s="67">
        <f t="shared" si="487"/>
        <v>1.9683070170875001</v>
      </c>
      <c r="DG47" s="65" t="e">
        <f t="shared" si="488"/>
        <v>#DIV/0!</v>
      </c>
      <c r="DH47" s="65">
        <f>4.1438042465*AC47</f>
        <v>14959.133329865001</v>
      </c>
      <c r="DI47" s="68">
        <v>70</v>
      </c>
      <c r="DJ47" s="65">
        <f t="shared" si="489"/>
        <v>202175</v>
      </c>
      <c r="DK47" s="66">
        <f t="shared" si="490"/>
        <v>106.40171232876713</v>
      </c>
      <c r="DL47" s="67">
        <f t="shared" si="491"/>
        <v>2.0769566107224997</v>
      </c>
      <c r="DM47" s="65" t="e">
        <f t="shared" si="492"/>
        <v>#DIV/0!</v>
      </c>
      <c r="DN47" s="65">
        <f>4.3725402331*AC47</f>
        <v>15784.870241490999</v>
      </c>
      <c r="DO47" s="69">
        <v>3.9</v>
      </c>
      <c r="DP47" s="7"/>
      <c r="DQ47" s="65">
        <f t="shared" si="493"/>
        <v>36261.728000000003</v>
      </c>
      <c r="DR47" s="65">
        <v>15</v>
      </c>
      <c r="DS47" s="65">
        <f t="shared" si="494"/>
        <v>43335</v>
      </c>
      <c r="DT47" s="66">
        <f t="shared" si="495"/>
        <v>22.801712328767124</v>
      </c>
      <c r="DU47" s="67">
        <f t="shared" si="496"/>
        <v>0.10907936767125</v>
      </c>
      <c r="DV47" s="65">
        <f t="shared" si="497"/>
        <v>25.335235920852359</v>
      </c>
      <c r="DW47" s="65">
        <f>0.434146737*AC47</f>
        <v>1567.2697205700001</v>
      </c>
      <c r="DX47" s="68">
        <v>30</v>
      </c>
      <c r="DY47" s="65">
        <f t="shared" si="498"/>
        <v>86655</v>
      </c>
      <c r="DZ47" s="66">
        <f t="shared" si="499"/>
        <v>45.601712328767128</v>
      </c>
      <c r="EA47" s="67">
        <f t="shared" si="500"/>
        <v>0.11318327522174998</v>
      </c>
      <c r="EB47" s="65">
        <f t="shared" si="501"/>
        <v>50.668569254185698</v>
      </c>
      <c r="EC47" s="65">
        <f>0.4504806974*AC47</f>
        <v>1626.235317614</v>
      </c>
      <c r="ED47" s="68">
        <v>70</v>
      </c>
      <c r="EE47" s="65">
        <f t="shared" si="502"/>
        <v>202175</v>
      </c>
      <c r="EF47" s="66">
        <f t="shared" si="503"/>
        <v>106.40171232876713</v>
      </c>
      <c r="EG47" s="67">
        <f t="shared" si="504"/>
        <v>0.18573393658575002</v>
      </c>
      <c r="EH47" s="65">
        <f t="shared" si="505"/>
        <v>118.22412480974126</v>
      </c>
      <c r="EI47" s="65">
        <f>0.7392395486*AC47</f>
        <v>2668.6547704459999</v>
      </c>
      <c r="EJ47" s="69">
        <v>3.9</v>
      </c>
    </row>
    <row r="48" spans="1:140">
      <c r="A48" s="48" t="str">
        <f t="shared" si="0"/>
        <v>RmWe</v>
      </c>
      <c r="B48" s="49">
        <v>24</v>
      </c>
      <c r="C48" s="48" t="s">
        <v>87</v>
      </c>
      <c r="D48" s="48" t="s">
        <v>81</v>
      </c>
      <c r="E48" s="48" t="s">
        <v>80</v>
      </c>
      <c r="F48" s="3"/>
      <c r="G48" s="50">
        <v>10000</v>
      </c>
      <c r="H48" s="51">
        <v>8493</v>
      </c>
      <c r="I48" s="51">
        <v>764</v>
      </c>
      <c r="J48" s="51">
        <v>423</v>
      </c>
      <c r="K48" s="51">
        <v>320</v>
      </c>
      <c r="L48" s="51">
        <v>1520</v>
      </c>
      <c r="M48" s="52">
        <f t="shared" si="430"/>
        <v>240</v>
      </c>
      <c r="N48" s="53">
        <f t="shared" si="431"/>
        <v>0.17599999999999999</v>
      </c>
      <c r="O48" s="179"/>
      <c r="P48" s="180"/>
      <c r="Q48" s="52">
        <f t="shared" si="432"/>
        <v>760</v>
      </c>
      <c r="R48" s="52">
        <f t="shared" si="433"/>
        <v>608</v>
      </c>
      <c r="S48" s="52">
        <f t="shared" si="4"/>
        <v>2280</v>
      </c>
      <c r="T48" s="3"/>
      <c r="U48" s="58">
        <f t="shared" si="434"/>
        <v>1760</v>
      </c>
      <c r="V48" s="56">
        <f t="shared" si="435"/>
        <v>0.17599999999999999</v>
      </c>
      <c r="W48" s="110">
        <f t="shared" si="436"/>
        <v>0.32800000000000001</v>
      </c>
      <c r="X48" s="3"/>
      <c r="Y48" s="57">
        <v>2</v>
      </c>
      <c r="Z48" s="58">
        <f t="shared" si="437"/>
        <v>3280</v>
      </c>
      <c r="AA48" s="58">
        <f t="shared" si="438"/>
        <v>2624</v>
      </c>
      <c r="AB48" s="58">
        <f t="shared" si="439"/>
        <v>3800</v>
      </c>
      <c r="AC48" s="58">
        <f t="shared" si="440"/>
        <v>3040</v>
      </c>
      <c r="AD48" s="58">
        <f t="shared" si="441"/>
        <v>2432</v>
      </c>
      <c r="AE48" s="58">
        <f t="shared" si="442"/>
        <v>40</v>
      </c>
      <c r="AF48" s="58">
        <f t="shared" si="443"/>
        <v>2392</v>
      </c>
      <c r="AG48" s="3"/>
      <c r="AH48" s="58">
        <f t="shared" si="14"/>
        <v>1520</v>
      </c>
      <c r="AI48" s="51">
        <f>4*413.2</f>
        <v>1652.8</v>
      </c>
      <c r="AJ48" s="51">
        <f>4*548.2</f>
        <v>2192.8000000000002</v>
      </c>
      <c r="AK48" s="58">
        <f t="shared" si="444"/>
        <v>5365.6</v>
      </c>
      <c r="AL48" s="51">
        <f>4*2787.7</f>
        <v>11150.8</v>
      </c>
      <c r="AM48" s="59">
        <f t="shared" si="445"/>
        <v>0.48118520644258717</v>
      </c>
      <c r="AN48" s="3"/>
      <c r="AO48" s="50">
        <v>90</v>
      </c>
      <c r="AP48" s="60">
        <f>10.5*16</f>
        <v>168</v>
      </c>
      <c r="AQ48" s="55">
        <f t="shared" si="446"/>
        <v>258</v>
      </c>
      <c r="AR48" s="3"/>
      <c r="AS48" s="55">
        <v>4</v>
      </c>
      <c r="AT48" s="3"/>
      <c r="AU48" s="58">
        <v>47</v>
      </c>
      <c r="AV48" s="58">
        <v>152</v>
      </c>
      <c r="AW48" s="58">
        <v>190</v>
      </c>
      <c r="AX48" s="62">
        <f t="shared" si="447"/>
        <v>51.744680851063826</v>
      </c>
      <c r="AY48" s="62">
        <f t="shared" si="448"/>
        <v>16</v>
      </c>
      <c r="AZ48" s="62">
        <f t="shared" si="449"/>
        <v>29.375000000000004</v>
      </c>
      <c r="BA48" s="62">
        <f t="shared" si="450"/>
        <v>95</v>
      </c>
      <c r="BB48" s="3"/>
      <c r="BC48" s="63" t="s">
        <v>78</v>
      </c>
      <c r="BD48" s="58">
        <f t="shared" si="451"/>
        <v>1520</v>
      </c>
      <c r="BE48" s="58">
        <f t="shared" si="452"/>
        <v>2420</v>
      </c>
      <c r="BF48" s="58" t="e" vm="1">
        <f>'[1]4 - Flächen'!AJ48</f>
        <v>#VALUE!</v>
      </c>
      <c r="BG48" s="58" t="e" vm="2">
        <f t="shared" si="453"/>
        <v>#VALUE!</v>
      </c>
      <c r="BH48" s="58">
        <f t="shared" si="454"/>
        <v>760</v>
      </c>
      <c r="BI48" s="58" t="e" vm="2">
        <f t="shared" si="455"/>
        <v>#VALUE!</v>
      </c>
      <c r="BJ48" s="63">
        <f t="shared" si="456"/>
        <v>20</v>
      </c>
      <c r="BK48" s="64">
        <v>0.2</v>
      </c>
      <c r="BL48" s="58">
        <f t="shared" si="457"/>
        <v>486.40000000000003</v>
      </c>
      <c r="BM48" s="58">
        <f t="shared" si="458"/>
        <v>414.4</v>
      </c>
      <c r="BN48" s="58">
        <f t="shared" si="459"/>
        <v>1371.68</v>
      </c>
      <c r="BO48" s="58">
        <f t="shared" si="460"/>
        <v>112</v>
      </c>
      <c r="BP48" s="58" cm="1">
        <f t="array" ref="BP48">BE48 - _xlfn.IFS(
    _xlfn.XOR(Y48 &lt; 2.5, Y48 = 2.5), 0.5 * AH48,
    _xlfn.XOR(Y48 &lt; 2.5, Y48 = 2.5) = FALSE, 0
)</f>
        <v>1660</v>
      </c>
      <c r="BQ48" s="58">
        <f t="shared" si="461"/>
        <v>6</v>
      </c>
      <c r="BR48" s="58" t="e" vm="1">
        <f>'[1]4 - Flächen'!AI48</f>
        <v>#VALUE!</v>
      </c>
      <c r="BS48" s="26"/>
      <c r="BT48" s="58">
        <f t="shared" si="462"/>
        <v>753.92</v>
      </c>
      <c r="BU48" s="58">
        <f t="shared" si="463"/>
        <v>14275.84</v>
      </c>
      <c r="BV48" s="58">
        <f t="shared" si="464"/>
        <v>912</v>
      </c>
      <c r="BW48" s="58">
        <f t="shared" si="465"/>
        <v>448</v>
      </c>
      <c r="BX48" s="58"/>
      <c r="BY48" s="58">
        <f t="shared" si="466"/>
        <v>0</v>
      </c>
      <c r="BZ48" s="3"/>
      <c r="CA48" s="65">
        <f t="shared" si="467"/>
        <v>30536.191999999999</v>
      </c>
      <c r="CB48" s="68">
        <v>15</v>
      </c>
      <c r="CC48" s="65">
        <f t="shared" si="468"/>
        <v>36495</v>
      </c>
      <c r="CD48" s="66">
        <f t="shared" si="469"/>
        <v>19.201712328767123</v>
      </c>
      <c r="CE48" s="67">
        <f t="shared" si="470"/>
        <v>0.19066602205749997</v>
      </c>
      <c r="CF48" s="65" t="e">
        <f t="shared" si="471"/>
        <v>#DIV/0!</v>
      </c>
      <c r="CG48" s="65">
        <f>0.4014021517*AC48</f>
        <v>1220.2625411679999</v>
      </c>
      <c r="CH48" s="68">
        <v>30</v>
      </c>
      <c r="CI48" s="65">
        <f t="shared" si="472"/>
        <v>72975</v>
      </c>
      <c r="CJ48" s="66">
        <f t="shared" si="473"/>
        <v>38.401712328767125</v>
      </c>
      <c r="CK48" s="67">
        <f t="shared" si="474"/>
        <v>0.20595133324500003</v>
      </c>
      <c r="CL48" s="65" t="e">
        <f t="shared" si="475"/>
        <v>#DIV/0!</v>
      </c>
      <c r="CM48" s="65">
        <f>0.4335817542*AC48</f>
        <v>1318.0885327680001</v>
      </c>
      <c r="CN48" s="68">
        <v>70</v>
      </c>
      <c r="CO48" s="65">
        <f t="shared" si="476"/>
        <v>170255</v>
      </c>
      <c r="CP48" s="66">
        <f t="shared" si="477"/>
        <v>89.601712328767121</v>
      </c>
      <c r="CQ48" s="67">
        <f t="shared" si="478"/>
        <v>0.24818024627499996</v>
      </c>
      <c r="CR48" s="65" t="e">
        <f t="shared" si="479"/>
        <v>#DIV/0!</v>
      </c>
      <c r="CS48" s="65">
        <f>0.522484729*AC48</f>
        <v>1588.3535761599999</v>
      </c>
      <c r="CT48" s="69">
        <v>3.05</v>
      </c>
      <c r="CU48" s="3"/>
      <c r="CV48" s="65">
        <f t="shared" si="480"/>
        <v>30536.191999999999</v>
      </c>
      <c r="CW48" s="65">
        <v>15</v>
      </c>
      <c r="CX48" s="65">
        <f t="shared" si="481"/>
        <v>36495</v>
      </c>
      <c r="CY48" s="66">
        <f t="shared" si="482"/>
        <v>19.201712328767123</v>
      </c>
      <c r="CZ48" s="67">
        <f t="shared" si="483"/>
        <v>1.9500287251050001</v>
      </c>
      <c r="DA48" s="65" t="e">
        <f t="shared" si="484"/>
        <v>#DIV/0!</v>
      </c>
      <c r="DB48" s="50">
        <f>4.1053236318*AC48</f>
        <v>12480.183840672</v>
      </c>
      <c r="DC48" s="68">
        <v>30</v>
      </c>
      <c r="DD48" s="65">
        <f t="shared" si="485"/>
        <v>72975</v>
      </c>
      <c r="DE48" s="66">
        <f t="shared" si="486"/>
        <v>38.401712328767125</v>
      </c>
      <c r="DF48" s="67">
        <f t="shared" si="487"/>
        <v>1.9776819109700001</v>
      </c>
      <c r="DG48" s="65" t="e">
        <f t="shared" si="488"/>
        <v>#DIV/0!</v>
      </c>
      <c r="DH48" s="65">
        <f>4.1635408652*AC48</f>
        <v>12657.164230208</v>
      </c>
      <c r="DI48" s="68">
        <v>70</v>
      </c>
      <c r="DJ48" s="65">
        <f t="shared" si="489"/>
        <v>170255</v>
      </c>
      <c r="DK48" s="66">
        <f t="shared" si="490"/>
        <v>89.601712328767121</v>
      </c>
      <c r="DL48" s="67">
        <f t="shared" si="491"/>
        <v>2.0528918230925002</v>
      </c>
      <c r="DM48" s="65" t="e">
        <f t="shared" si="492"/>
        <v>#DIV/0!</v>
      </c>
      <c r="DN48" s="65">
        <f>4.3218775223*AC48</f>
        <v>13138.507667792001</v>
      </c>
      <c r="DO48" s="69">
        <v>3.9</v>
      </c>
      <c r="DP48" s="7"/>
      <c r="DQ48" s="65">
        <f t="shared" si="493"/>
        <v>30536.191999999999</v>
      </c>
      <c r="DR48" s="65">
        <v>15</v>
      </c>
      <c r="DS48" s="65">
        <f t="shared" si="494"/>
        <v>36495</v>
      </c>
      <c r="DT48" s="66">
        <f t="shared" si="495"/>
        <v>19.201712328767123</v>
      </c>
      <c r="DU48" s="67">
        <f t="shared" si="496"/>
        <v>0.115682403118875</v>
      </c>
      <c r="DV48" s="65">
        <f t="shared" si="497"/>
        <v>21.335235920852359</v>
      </c>
      <c r="DW48" s="65">
        <f>0.4604274751*AC48</f>
        <v>1399.6995243039999</v>
      </c>
      <c r="DX48" s="68">
        <v>30</v>
      </c>
      <c r="DY48" s="65">
        <f t="shared" si="498"/>
        <v>72975</v>
      </c>
      <c r="DZ48" s="66">
        <f t="shared" si="499"/>
        <v>38.401712328767125</v>
      </c>
      <c r="EA48" s="67">
        <f t="shared" si="500"/>
        <v>0.119250422056875</v>
      </c>
      <c r="EB48" s="65">
        <f t="shared" si="501"/>
        <v>42.668569254185691</v>
      </c>
      <c r="EC48" s="65">
        <f>0.4746285455*AC48</f>
        <v>1442.87077832</v>
      </c>
      <c r="ED48" s="68">
        <v>70</v>
      </c>
      <c r="EE48" s="65">
        <f t="shared" si="502"/>
        <v>170255</v>
      </c>
      <c r="EF48" s="66">
        <f t="shared" si="503"/>
        <v>89.601712328767121</v>
      </c>
      <c r="EG48" s="67">
        <f t="shared" si="504"/>
        <v>0.13947143257424999</v>
      </c>
      <c r="EH48" s="65">
        <f t="shared" si="505"/>
        <v>99.55745814307457</v>
      </c>
      <c r="EI48" s="65">
        <f>0.5551101794*AC48</f>
        <v>1687.5349453759998</v>
      </c>
      <c r="EJ48" s="69">
        <v>3.9</v>
      </c>
    </row>
    <row r="49" spans="1:140">
      <c r="A49" s="70" t="str">
        <f t="shared" si="0"/>
        <v>RhKr</v>
      </c>
      <c r="B49" s="71">
        <v>25</v>
      </c>
      <c r="C49" s="70" t="s">
        <v>87</v>
      </c>
      <c r="D49" s="70" t="s">
        <v>82</v>
      </c>
      <c r="E49" s="70" t="s">
        <v>77</v>
      </c>
      <c r="F49" s="3"/>
      <c r="G49" s="72">
        <v>10000</v>
      </c>
      <c r="H49" s="73">
        <v>7225</v>
      </c>
      <c r="I49" s="73">
        <v>1164</v>
      </c>
      <c r="J49" s="73">
        <v>931</v>
      </c>
      <c r="K49" s="73">
        <v>680</v>
      </c>
      <c r="L49" s="73">
        <f>380*6</f>
        <v>2280</v>
      </c>
      <c r="M49" s="72">
        <f t="shared" si="430"/>
        <v>450</v>
      </c>
      <c r="N49" s="75">
        <f t="shared" si="431"/>
        <v>0.27300000000000002</v>
      </c>
      <c r="O49" s="76"/>
      <c r="P49" s="181"/>
      <c r="Q49" s="72">
        <f t="shared" si="432"/>
        <v>1140</v>
      </c>
      <c r="R49" s="72">
        <f t="shared" si="433"/>
        <v>912</v>
      </c>
      <c r="S49" s="72">
        <f t="shared" si="4"/>
        <v>3420</v>
      </c>
      <c r="T49" s="3"/>
      <c r="U49" s="77">
        <f t="shared" si="434"/>
        <v>2730</v>
      </c>
      <c r="V49" s="78">
        <f t="shared" si="435"/>
        <v>0.27300000000000002</v>
      </c>
      <c r="W49" s="111">
        <f t="shared" si="436"/>
        <v>0.61499999999999999</v>
      </c>
      <c r="X49" s="3"/>
      <c r="Y49" s="79">
        <v>2.5</v>
      </c>
      <c r="Z49" s="77">
        <f t="shared" si="437"/>
        <v>6150</v>
      </c>
      <c r="AA49" s="77">
        <f t="shared" si="438"/>
        <v>4920</v>
      </c>
      <c r="AB49" s="77">
        <f t="shared" si="439"/>
        <v>6840</v>
      </c>
      <c r="AC49" s="77">
        <f t="shared" si="440"/>
        <v>5472</v>
      </c>
      <c r="AD49" s="77">
        <f t="shared" si="441"/>
        <v>4560</v>
      </c>
      <c r="AE49" s="77">
        <f t="shared" si="442"/>
        <v>75</v>
      </c>
      <c r="AF49" s="77">
        <f t="shared" si="443"/>
        <v>4485</v>
      </c>
      <c r="AG49" s="3"/>
      <c r="AH49" s="77">
        <f t="shared" si="14"/>
        <v>2280</v>
      </c>
      <c r="AI49" s="73">
        <f>493.6*6</f>
        <v>2961.6000000000004</v>
      </c>
      <c r="AJ49" s="73">
        <f>6*579.6</f>
        <v>3477.6000000000004</v>
      </c>
      <c r="AK49" s="77">
        <f t="shared" si="444"/>
        <v>8719.2000000000007</v>
      </c>
      <c r="AL49" s="73">
        <f>(6*3265)</f>
        <v>19590</v>
      </c>
      <c r="AM49" s="80">
        <f t="shared" si="445"/>
        <v>0.44508422664624814</v>
      </c>
      <c r="AN49" s="3"/>
      <c r="AO49" s="72">
        <v>200</v>
      </c>
      <c r="AP49" s="81">
        <f>10.5*24</f>
        <v>252</v>
      </c>
      <c r="AQ49" s="82">
        <f t="shared" si="446"/>
        <v>452</v>
      </c>
      <c r="AR49" s="3"/>
      <c r="AS49" s="82">
        <v>6</v>
      </c>
      <c r="AT49" s="3"/>
      <c r="AU49" s="77">
        <v>47</v>
      </c>
      <c r="AV49" s="77">
        <v>152</v>
      </c>
      <c r="AW49" s="77">
        <v>190</v>
      </c>
      <c r="AX49" s="83">
        <f t="shared" si="447"/>
        <v>97.021276595744681</v>
      </c>
      <c r="AY49" s="83">
        <f t="shared" si="448"/>
        <v>30</v>
      </c>
      <c r="AZ49" s="83">
        <f t="shared" si="449"/>
        <v>23.5</v>
      </c>
      <c r="BA49" s="83">
        <f t="shared" si="450"/>
        <v>76</v>
      </c>
      <c r="BB49" s="3"/>
      <c r="BC49" s="84" t="s">
        <v>78</v>
      </c>
      <c r="BD49" s="77">
        <f t="shared" si="451"/>
        <v>2280</v>
      </c>
      <c r="BE49" s="77">
        <f t="shared" si="452"/>
        <v>4536</v>
      </c>
      <c r="BF49" s="77" t="e" vm="1">
        <f>'[1]4 - Flächen'!AJ49</f>
        <v>#VALUE!</v>
      </c>
      <c r="BG49" s="77" t="e" vm="2">
        <f t="shared" si="453"/>
        <v>#VALUE!</v>
      </c>
      <c r="BH49" s="77">
        <f t="shared" si="454"/>
        <v>1140</v>
      </c>
      <c r="BI49" s="77" t="e" vm="2">
        <f t="shared" si="455"/>
        <v>#VALUE!</v>
      </c>
      <c r="BJ49" s="84">
        <f t="shared" si="456"/>
        <v>36</v>
      </c>
      <c r="BK49" s="85">
        <v>0.2</v>
      </c>
      <c r="BL49" s="77">
        <f t="shared" si="457"/>
        <v>912</v>
      </c>
      <c r="BM49" s="77">
        <f t="shared" si="458"/>
        <v>777</v>
      </c>
      <c r="BN49" s="77">
        <f t="shared" si="459"/>
        <v>2571.9</v>
      </c>
      <c r="BO49" s="77">
        <f t="shared" si="460"/>
        <v>210</v>
      </c>
      <c r="BP49" s="77" cm="1">
        <f t="array" ref="BP49">BE49 - _xlfn.IFS(
    _xlfn.XOR(Y49 &lt; 2.5, Y49 = 2.5), 0.5 * AH49,
    _xlfn.XOR(Y49 &lt; 2.5, Y49 = 2.5) = FALSE, 0
)</f>
        <v>3396</v>
      </c>
      <c r="BQ49" s="77">
        <f t="shared" si="461"/>
        <v>12</v>
      </c>
      <c r="BR49" s="77" t="e" vm="1">
        <f>'[1]4 - Flächen'!AI49</f>
        <v>#VALUE!</v>
      </c>
      <c r="BS49" s="26"/>
      <c r="BT49" s="77">
        <f t="shared" si="462"/>
        <v>1413.6</v>
      </c>
      <c r="BU49" s="77">
        <f t="shared" si="463"/>
        <v>26767.200000000001</v>
      </c>
      <c r="BV49" s="77">
        <f t="shared" si="464"/>
        <v>1710</v>
      </c>
      <c r="BW49" s="77">
        <f t="shared" si="465"/>
        <v>840</v>
      </c>
      <c r="BX49" s="58"/>
      <c r="BY49" s="58">
        <f t="shared" si="466"/>
        <v>0</v>
      </c>
      <c r="BZ49" s="3"/>
      <c r="CA49" s="86">
        <f t="shared" si="467"/>
        <v>57255.360000000001</v>
      </c>
      <c r="CB49" s="89">
        <v>15</v>
      </c>
      <c r="CC49" s="86">
        <f t="shared" si="468"/>
        <v>68415</v>
      </c>
      <c r="CD49" s="87">
        <f t="shared" si="469"/>
        <v>36.001712328767127</v>
      </c>
      <c r="CE49" s="88">
        <f t="shared" si="470"/>
        <v>0.17167993065599998</v>
      </c>
      <c r="CF49" s="86" t="e">
        <f t="shared" si="471"/>
        <v>#DIV/0!</v>
      </c>
      <c r="CG49" s="86">
        <f>0.376491076*AC49</f>
        <v>2060.1591678719997</v>
      </c>
      <c r="CH49" s="89">
        <v>30</v>
      </c>
      <c r="CI49" s="86">
        <f t="shared" si="472"/>
        <v>136815</v>
      </c>
      <c r="CJ49" s="87">
        <f t="shared" si="473"/>
        <v>72.001712328767127</v>
      </c>
      <c r="CK49" s="88">
        <f t="shared" si="474"/>
        <v>0.18693512177999999</v>
      </c>
      <c r="CL49" s="86" t="e">
        <f t="shared" si="475"/>
        <v>#DIV/0!</v>
      </c>
      <c r="CM49" s="86">
        <f>0.4099454425*AC49</f>
        <v>2243.2214613599999</v>
      </c>
      <c r="CN49" s="89">
        <v>70</v>
      </c>
      <c r="CO49" s="86">
        <f t="shared" si="476"/>
        <v>319215</v>
      </c>
      <c r="CP49" s="87">
        <f t="shared" si="477"/>
        <v>168.00171232876713</v>
      </c>
      <c r="CQ49" s="88">
        <f t="shared" si="478"/>
        <v>0.22796030875680001</v>
      </c>
      <c r="CR49" s="86" t="e">
        <f t="shared" si="479"/>
        <v>#DIV/0!</v>
      </c>
      <c r="CS49" s="86">
        <f>0.4999129578*AC49</f>
        <v>2735.5237050815999</v>
      </c>
      <c r="CT49" s="90">
        <v>3.05</v>
      </c>
      <c r="CU49" s="3"/>
      <c r="CV49" s="86">
        <f t="shared" si="480"/>
        <v>57255.360000000001</v>
      </c>
      <c r="CW49" s="86">
        <v>15</v>
      </c>
      <c r="CX49" s="86">
        <f t="shared" si="481"/>
        <v>68415</v>
      </c>
      <c r="CY49" s="87">
        <f t="shared" si="482"/>
        <v>36.001712328767127</v>
      </c>
      <c r="CZ49" s="88">
        <f t="shared" si="483"/>
        <v>1.8505343428248002</v>
      </c>
      <c r="DA49" s="86" t="e">
        <f t="shared" si="484"/>
        <v>#DIV/0!</v>
      </c>
      <c r="DB49" s="72">
        <f>4.0581893483*AC49</f>
        <v>22206.412113897601</v>
      </c>
      <c r="DC49" s="89">
        <v>30</v>
      </c>
      <c r="DD49" s="86">
        <f t="shared" si="485"/>
        <v>136815</v>
      </c>
      <c r="DE49" s="87">
        <f t="shared" si="486"/>
        <v>72.001712328767127</v>
      </c>
      <c r="DF49" s="88">
        <f t="shared" si="487"/>
        <v>1.8776626936392</v>
      </c>
      <c r="DG49" s="86" t="e">
        <f t="shared" si="488"/>
        <v>#DIV/0!</v>
      </c>
      <c r="DH49" s="86">
        <f>4.1176813457*AC49</f>
        <v>22531.952323670401</v>
      </c>
      <c r="DI49" s="89">
        <v>70</v>
      </c>
      <c r="DJ49" s="86">
        <f t="shared" si="489"/>
        <v>319215</v>
      </c>
      <c r="DK49" s="87">
        <f t="shared" si="490"/>
        <v>168.00171232876713</v>
      </c>
      <c r="DL49" s="88">
        <f t="shared" si="491"/>
        <v>1.9407587651616005</v>
      </c>
      <c r="DM49" s="86" t="e">
        <f t="shared" si="492"/>
        <v>#DIV/0!</v>
      </c>
      <c r="DN49" s="86">
        <f>4.2560499236*AC49</f>
        <v>23289.105181939201</v>
      </c>
      <c r="DO49" s="90">
        <v>3.9</v>
      </c>
      <c r="DP49" s="7"/>
      <c r="DQ49" s="86">
        <f t="shared" si="493"/>
        <v>57255.360000000001</v>
      </c>
      <c r="DR49" s="86">
        <v>15</v>
      </c>
      <c r="DS49" s="86">
        <f t="shared" si="494"/>
        <v>68415</v>
      </c>
      <c r="DT49" s="87">
        <f t="shared" si="495"/>
        <v>36.001712328767127</v>
      </c>
      <c r="DU49" s="88">
        <f t="shared" si="496"/>
        <v>0.10288203939828001</v>
      </c>
      <c r="DV49" s="86">
        <f t="shared" si="497"/>
        <v>40.001902587519027</v>
      </c>
      <c r="DW49" s="86">
        <f>0.4265424519*AC49</f>
        <v>2334.0402967968002</v>
      </c>
      <c r="DX49" s="89">
        <v>30</v>
      </c>
      <c r="DY49" s="86">
        <f t="shared" si="498"/>
        <v>136815</v>
      </c>
      <c r="DZ49" s="87">
        <f t="shared" si="499"/>
        <v>72.001712328767127</v>
      </c>
      <c r="EA49" s="88">
        <f t="shared" si="500"/>
        <v>0.10703365619220001</v>
      </c>
      <c r="EB49" s="86">
        <f t="shared" si="501"/>
        <v>80.001902587519027</v>
      </c>
      <c r="EC49" s="86">
        <f>0.4437547935*AC49</f>
        <v>2428.2262300320003</v>
      </c>
      <c r="ED49" s="89">
        <v>70</v>
      </c>
      <c r="EE49" s="86">
        <f t="shared" si="502"/>
        <v>319215</v>
      </c>
      <c r="EF49" s="87">
        <f t="shared" si="503"/>
        <v>168.00171232876713</v>
      </c>
      <c r="EG49" s="88">
        <f t="shared" si="504"/>
        <v>0.13393278350423998</v>
      </c>
      <c r="EH49" s="86">
        <f t="shared" si="505"/>
        <v>186.66856925418568</v>
      </c>
      <c r="EI49" s="86">
        <f>0.5552768802*AC49</f>
        <v>3038.4750884544001</v>
      </c>
      <c r="EJ49" s="90">
        <v>3.9</v>
      </c>
    </row>
    <row r="50" spans="1:140">
      <c r="A50" s="70" t="str">
        <f t="shared" si="0"/>
        <v>RhKu</v>
      </c>
      <c r="B50" s="71">
        <v>26</v>
      </c>
      <c r="C50" s="70" t="s">
        <v>87</v>
      </c>
      <c r="D50" s="70" t="s">
        <v>82</v>
      </c>
      <c r="E50" s="70" t="s">
        <v>79</v>
      </c>
      <c r="F50" s="3"/>
      <c r="G50" s="72">
        <v>10000</v>
      </c>
      <c r="H50" s="73">
        <v>8500</v>
      </c>
      <c r="I50" s="73">
        <v>600</v>
      </c>
      <c r="J50" s="73">
        <v>560</v>
      </c>
      <c r="K50" s="73">
        <v>340</v>
      </c>
      <c r="L50" s="73">
        <f>380*3+665</f>
        <v>1805</v>
      </c>
      <c r="M50" s="72">
        <f t="shared" si="430"/>
        <v>356.25</v>
      </c>
      <c r="N50" s="75">
        <f t="shared" si="431"/>
        <v>0.21612500000000001</v>
      </c>
      <c r="O50" s="177"/>
      <c r="P50" s="181"/>
      <c r="Q50" s="72">
        <f t="shared" si="432"/>
        <v>902.5</v>
      </c>
      <c r="R50" s="72">
        <f t="shared" si="433"/>
        <v>722</v>
      </c>
      <c r="S50" s="72">
        <f t="shared" si="4"/>
        <v>2707.5</v>
      </c>
      <c r="T50" s="3"/>
      <c r="U50" s="77">
        <f t="shared" si="434"/>
        <v>2161.25</v>
      </c>
      <c r="V50" s="78">
        <f t="shared" si="435"/>
        <v>0.21612500000000001</v>
      </c>
      <c r="W50" s="111">
        <f t="shared" si="436"/>
        <v>0.486875</v>
      </c>
      <c r="X50" s="3"/>
      <c r="Y50" s="79">
        <v>2.5</v>
      </c>
      <c r="Z50" s="77">
        <f t="shared" si="437"/>
        <v>4868.75</v>
      </c>
      <c r="AA50" s="77">
        <f t="shared" si="438"/>
        <v>3895</v>
      </c>
      <c r="AB50" s="77">
        <f t="shared" si="439"/>
        <v>5415</v>
      </c>
      <c r="AC50" s="77">
        <f t="shared" si="440"/>
        <v>4332</v>
      </c>
      <c r="AD50" s="77">
        <f t="shared" si="441"/>
        <v>3610</v>
      </c>
      <c r="AE50" s="77">
        <f t="shared" si="442"/>
        <v>59.375</v>
      </c>
      <c r="AF50" s="77">
        <f t="shared" si="443"/>
        <v>3550.625</v>
      </c>
      <c r="AG50" s="3"/>
      <c r="AH50" s="77">
        <f t="shared" si="14"/>
        <v>1805</v>
      </c>
      <c r="AI50" s="73">
        <f>(1*863.8)+(3*493.6)</f>
        <v>2344.6000000000004</v>
      </c>
      <c r="AJ50" s="73">
        <f>(1*853.2)+(3*579.6)</f>
        <v>2592</v>
      </c>
      <c r="AK50" s="77">
        <f t="shared" si="444"/>
        <v>6741.6</v>
      </c>
      <c r="AL50" s="73">
        <f>(1*5713.7)+(3*3265)</f>
        <v>15508.7</v>
      </c>
      <c r="AM50" s="80">
        <f t="shared" si="445"/>
        <v>0.43469794373480691</v>
      </c>
      <c r="AN50" s="3"/>
      <c r="AO50" s="72">
        <v>100</v>
      </c>
      <c r="AP50" s="116">
        <f>10.5*19</f>
        <v>199.5</v>
      </c>
      <c r="AQ50" s="82">
        <f t="shared" si="446"/>
        <v>299.5</v>
      </c>
      <c r="AR50" s="3"/>
      <c r="AS50" s="82">
        <v>4</v>
      </c>
      <c r="AT50" s="3"/>
      <c r="AU50" s="77">
        <v>47</v>
      </c>
      <c r="AV50" s="77">
        <v>152</v>
      </c>
      <c r="AW50" s="77">
        <v>190</v>
      </c>
      <c r="AX50" s="83">
        <f t="shared" si="447"/>
        <v>76.808510638297875</v>
      </c>
      <c r="AY50" s="83">
        <f t="shared" si="448"/>
        <v>23.75</v>
      </c>
      <c r="AZ50" s="83">
        <f t="shared" si="449"/>
        <v>23.5</v>
      </c>
      <c r="BA50" s="83">
        <f t="shared" si="450"/>
        <v>76</v>
      </c>
      <c r="BB50" s="3"/>
      <c r="BC50" s="84" t="s">
        <v>78</v>
      </c>
      <c r="BD50" s="77">
        <f t="shared" si="451"/>
        <v>1805</v>
      </c>
      <c r="BE50" s="77">
        <f t="shared" si="452"/>
        <v>3594</v>
      </c>
      <c r="BF50" s="77" t="e" vm="1">
        <f>'[1]4 - Flächen'!AJ50</f>
        <v>#VALUE!</v>
      </c>
      <c r="BG50" s="77" t="e" vm="2">
        <f t="shared" si="453"/>
        <v>#VALUE!</v>
      </c>
      <c r="BH50" s="77">
        <f t="shared" si="454"/>
        <v>902.5</v>
      </c>
      <c r="BI50" s="77" t="e" vm="2">
        <f t="shared" si="455"/>
        <v>#VALUE!</v>
      </c>
      <c r="BJ50" s="84">
        <f t="shared" si="456"/>
        <v>27.75</v>
      </c>
      <c r="BK50" s="85">
        <v>0.2</v>
      </c>
      <c r="BL50" s="77">
        <f t="shared" si="457"/>
        <v>722</v>
      </c>
      <c r="BM50" s="77">
        <f t="shared" si="458"/>
        <v>615.125</v>
      </c>
      <c r="BN50" s="77">
        <f t="shared" si="459"/>
        <v>2036.0875000000001</v>
      </c>
      <c r="BO50" s="77">
        <f t="shared" si="460"/>
        <v>166.25</v>
      </c>
      <c r="BP50" s="77" cm="1">
        <f t="array" ref="BP50">BE50 - _xlfn.IFS(
    _xlfn.XOR(Y50 &lt; 2.5, Y50 = 2.5), 0.5 * AH50,
    _xlfn.XOR(Y50 &lt; 2.5, Y50 = 2.5) = FALSE, 0
)</f>
        <v>2691.5</v>
      </c>
      <c r="BQ50" s="77">
        <f t="shared" si="461"/>
        <v>8</v>
      </c>
      <c r="BR50" s="77" t="e" vm="1">
        <f>'[1]4 - Flächen'!AI50</f>
        <v>#VALUE!</v>
      </c>
      <c r="BS50" s="26"/>
      <c r="BT50" s="77">
        <f t="shared" si="462"/>
        <v>1119.0999999999999</v>
      </c>
      <c r="BU50" s="77">
        <f t="shared" si="463"/>
        <v>21190.7</v>
      </c>
      <c r="BV50" s="77">
        <f t="shared" si="464"/>
        <v>1353.75</v>
      </c>
      <c r="BW50" s="77">
        <f t="shared" si="465"/>
        <v>665</v>
      </c>
      <c r="BX50" s="58"/>
      <c r="BY50" s="58">
        <f t="shared" si="466"/>
        <v>0</v>
      </c>
      <c r="BZ50" s="3"/>
      <c r="CA50" s="86">
        <f t="shared" si="467"/>
        <v>45327.16</v>
      </c>
      <c r="CB50" s="89">
        <v>15</v>
      </c>
      <c r="CC50" s="86">
        <f t="shared" si="468"/>
        <v>54165</v>
      </c>
      <c r="CD50" s="87">
        <f t="shared" si="469"/>
        <v>28.501712328767123</v>
      </c>
      <c r="CE50" s="88">
        <f t="shared" si="470"/>
        <v>0.1743254015232</v>
      </c>
      <c r="CF50" s="86" t="e">
        <f t="shared" si="471"/>
        <v>#DIV/0!</v>
      </c>
      <c r="CG50" s="86">
        <f>0.3822925472*AC50</f>
        <v>1656.0913144704</v>
      </c>
      <c r="CH50" s="89">
        <v>30</v>
      </c>
      <c r="CI50" s="86">
        <f t="shared" si="472"/>
        <v>108315</v>
      </c>
      <c r="CJ50" s="87">
        <f t="shared" si="473"/>
        <v>57.001712328767127</v>
      </c>
      <c r="CK50" s="88">
        <f t="shared" si="474"/>
        <v>0.18598142897040001</v>
      </c>
      <c r="CL50" s="86" t="e">
        <f t="shared" si="475"/>
        <v>#DIV/0!</v>
      </c>
      <c r="CM50" s="86">
        <f>0.4078540109*AC50</f>
        <v>1766.8235752188</v>
      </c>
      <c r="CN50" s="89">
        <v>70</v>
      </c>
      <c r="CO50" s="86">
        <f t="shared" si="476"/>
        <v>252715</v>
      </c>
      <c r="CP50" s="87">
        <f t="shared" si="477"/>
        <v>133.00171232876713</v>
      </c>
      <c r="CQ50" s="88">
        <f t="shared" si="478"/>
        <v>0.25299267358319999</v>
      </c>
      <c r="CR50" s="86" t="e">
        <f t="shared" si="479"/>
        <v>#DIV/0!</v>
      </c>
      <c r="CS50" s="86">
        <f>0.5548084947*AC50</f>
        <v>2403.4303990404001</v>
      </c>
      <c r="CT50" s="90">
        <v>3.05</v>
      </c>
      <c r="CU50" s="3"/>
      <c r="CV50" s="86">
        <f t="shared" si="480"/>
        <v>45327.16</v>
      </c>
      <c r="CW50" s="86">
        <v>15</v>
      </c>
      <c r="CX50" s="86">
        <f t="shared" si="481"/>
        <v>54165</v>
      </c>
      <c r="CY50" s="87">
        <f t="shared" si="482"/>
        <v>28.501712328767123</v>
      </c>
      <c r="CZ50" s="88">
        <f t="shared" si="483"/>
        <v>1.8348740025408001</v>
      </c>
      <c r="DA50" s="86" t="e">
        <f t="shared" si="484"/>
        <v>#DIV/0!</v>
      </c>
      <c r="DB50" s="72">
        <f>4.0238464968*AC50</f>
        <v>17431.3030241376</v>
      </c>
      <c r="DC50" s="89">
        <v>30</v>
      </c>
      <c r="DD50" s="86">
        <f t="shared" si="485"/>
        <v>108315</v>
      </c>
      <c r="DE50" s="87">
        <f t="shared" si="486"/>
        <v>57.001712328767127</v>
      </c>
      <c r="DF50" s="88">
        <f t="shared" si="487"/>
        <v>1.8584031896327997</v>
      </c>
      <c r="DG50" s="86" t="e">
        <f t="shared" si="488"/>
        <v>#DIV/0!</v>
      </c>
      <c r="DH50" s="86">
        <f>4.0754455913*AC50</f>
        <v>17654.8303015116</v>
      </c>
      <c r="DI50" s="89">
        <v>70</v>
      </c>
      <c r="DJ50" s="86">
        <f t="shared" si="489"/>
        <v>252715</v>
      </c>
      <c r="DK50" s="87">
        <f t="shared" si="490"/>
        <v>133.00171232876713</v>
      </c>
      <c r="DL50" s="88">
        <f t="shared" si="491"/>
        <v>1.9590369585359997</v>
      </c>
      <c r="DM50" s="86" t="e">
        <f t="shared" si="492"/>
        <v>#DIV/0!</v>
      </c>
      <c r="DN50" s="86">
        <f>4.296133681*AC50</f>
        <v>18610.851106091999</v>
      </c>
      <c r="DO50" s="90">
        <v>3.9</v>
      </c>
      <c r="DP50" s="7"/>
      <c r="DQ50" s="86">
        <f t="shared" si="493"/>
        <v>45327.16</v>
      </c>
      <c r="DR50" s="86">
        <v>15</v>
      </c>
      <c r="DS50" s="86">
        <f t="shared" si="494"/>
        <v>54165</v>
      </c>
      <c r="DT50" s="87">
        <f t="shared" si="495"/>
        <v>28.501712328767123</v>
      </c>
      <c r="DU50" s="88">
        <f t="shared" si="496"/>
        <v>0.10202424092820001</v>
      </c>
      <c r="DV50" s="86">
        <f t="shared" si="497"/>
        <v>31.668569254185691</v>
      </c>
      <c r="DW50" s="86">
        <f>0.4229860735*AC50</f>
        <v>1832.375670402</v>
      </c>
      <c r="DX50" s="89">
        <v>30</v>
      </c>
      <c r="DY50" s="86">
        <f t="shared" si="498"/>
        <v>108315</v>
      </c>
      <c r="DZ50" s="87">
        <f t="shared" si="499"/>
        <v>57.001712328767127</v>
      </c>
      <c r="EA50" s="88">
        <f t="shared" si="500"/>
        <v>0.10329596640864</v>
      </c>
      <c r="EB50" s="86">
        <f t="shared" si="501"/>
        <v>63.335235920852362</v>
      </c>
      <c r="EC50" s="86">
        <f>0.4282585672*AC50</f>
        <v>1855.2161131103999</v>
      </c>
      <c r="ED50" s="89">
        <v>70</v>
      </c>
      <c r="EE50" s="86">
        <f t="shared" si="502"/>
        <v>252715</v>
      </c>
      <c r="EF50" s="87">
        <f t="shared" si="503"/>
        <v>133.00171232876713</v>
      </c>
      <c r="EG50" s="88">
        <f t="shared" si="504"/>
        <v>0.14777236643868</v>
      </c>
      <c r="EH50" s="86">
        <f t="shared" si="505"/>
        <v>147.7796803652968</v>
      </c>
      <c r="EI50" s="86">
        <f>0.6126549189*AC50</f>
        <v>2654.0211086748</v>
      </c>
      <c r="EJ50" s="90">
        <v>3.9</v>
      </c>
    </row>
    <row r="51" spans="1:140">
      <c r="A51" s="70" t="str">
        <f t="shared" si="0"/>
        <v>RhWe</v>
      </c>
      <c r="B51" s="71">
        <v>27</v>
      </c>
      <c r="C51" s="70" t="s">
        <v>87</v>
      </c>
      <c r="D51" s="70" t="s">
        <v>82</v>
      </c>
      <c r="E51" s="70" t="s">
        <v>80</v>
      </c>
      <c r="F51" s="3"/>
      <c r="G51" s="72">
        <v>10000</v>
      </c>
      <c r="H51" s="72">
        <v>8493</v>
      </c>
      <c r="I51" s="72">
        <v>764</v>
      </c>
      <c r="J51" s="72">
        <v>423</v>
      </c>
      <c r="K51" s="72">
        <v>320</v>
      </c>
      <c r="L51" s="72">
        <f>380*4</f>
        <v>1520</v>
      </c>
      <c r="M51" s="72">
        <f t="shared" si="430"/>
        <v>300</v>
      </c>
      <c r="N51" s="91">
        <f t="shared" si="431"/>
        <v>0.182</v>
      </c>
      <c r="O51" s="179"/>
      <c r="P51" s="182"/>
      <c r="Q51" s="72">
        <f t="shared" si="432"/>
        <v>760</v>
      </c>
      <c r="R51" s="72">
        <f t="shared" si="433"/>
        <v>608</v>
      </c>
      <c r="S51" s="72">
        <f t="shared" si="4"/>
        <v>2280</v>
      </c>
      <c r="T51" s="3"/>
      <c r="U51" s="77">
        <f t="shared" si="434"/>
        <v>1820</v>
      </c>
      <c r="V51" s="78">
        <f t="shared" si="435"/>
        <v>0.182</v>
      </c>
      <c r="W51" s="111">
        <f t="shared" si="436"/>
        <v>0.41</v>
      </c>
      <c r="X51" s="3"/>
      <c r="Y51" s="79">
        <v>2.5</v>
      </c>
      <c r="Z51" s="77">
        <f t="shared" si="437"/>
        <v>4100</v>
      </c>
      <c r="AA51" s="77">
        <f t="shared" si="438"/>
        <v>3280</v>
      </c>
      <c r="AB51" s="77">
        <f t="shared" si="439"/>
        <v>4560</v>
      </c>
      <c r="AC51" s="77">
        <f t="shared" si="440"/>
        <v>3648</v>
      </c>
      <c r="AD51" s="77">
        <f t="shared" si="441"/>
        <v>3040</v>
      </c>
      <c r="AE51" s="77">
        <f t="shared" si="442"/>
        <v>50</v>
      </c>
      <c r="AF51" s="77">
        <f t="shared" si="443"/>
        <v>2990</v>
      </c>
      <c r="AG51" s="3"/>
      <c r="AH51" s="77">
        <f t="shared" si="14"/>
        <v>1520</v>
      </c>
      <c r="AI51" s="73">
        <f>(4*493.6)</f>
        <v>1974.4</v>
      </c>
      <c r="AJ51" s="73">
        <f>4*579.6</f>
        <v>2318.4</v>
      </c>
      <c r="AK51" s="77">
        <f t="shared" si="444"/>
        <v>5812.8</v>
      </c>
      <c r="AL51" s="73">
        <f>4*3265</f>
        <v>13060</v>
      </c>
      <c r="AM51" s="80">
        <f t="shared" si="445"/>
        <v>0.44508422664624808</v>
      </c>
      <c r="AN51" s="3"/>
      <c r="AO51" s="72">
        <v>90</v>
      </c>
      <c r="AP51" s="81">
        <f>10.5*16</f>
        <v>168</v>
      </c>
      <c r="AQ51" s="82">
        <f t="shared" si="446"/>
        <v>258</v>
      </c>
      <c r="AR51" s="3"/>
      <c r="AS51" s="82">
        <v>4</v>
      </c>
      <c r="AT51" s="3"/>
      <c r="AU51" s="77">
        <v>47</v>
      </c>
      <c r="AV51" s="77">
        <v>152</v>
      </c>
      <c r="AW51" s="77">
        <v>190</v>
      </c>
      <c r="AX51" s="83">
        <f t="shared" si="447"/>
        <v>64.680851063829792</v>
      </c>
      <c r="AY51" s="83">
        <f t="shared" si="448"/>
        <v>20</v>
      </c>
      <c r="AZ51" s="83">
        <f t="shared" si="449"/>
        <v>23.5</v>
      </c>
      <c r="BA51" s="83">
        <f t="shared" si="450"/>
        <v>76</v>
      </c>
      <c r="BB51" s="3"/>
      <c r="BC51" s="84" t="s">
        <v>78</v>
      </c>
      <c r="BD51" s="77">
        <f t="shared" si="451"/>
        <v>1520</v>
      </c>
      <c r="BE51" s="77">
        <f t="shared" si="452"/>
        <v>3024</v>
      </c>
      <c r="BF51" s="77" t="e" vm="1">
        <f>'[1]4 - Flächen'!AJ51</f>
        <v>#VALUE!</v>
      </c>
      <c r="BG51" s="77" t="e" vm="2">
        <f t="shared" si="453"/>
        <v>#VALUE!</v>
      </c>
      <c r="BH51" s="77">
        <f t="shared" si="454"/>
        <v>760</v>
      </c>
      <c r="BI51" s="77" t="e" vm="2">
        <f t="shared" si="455"/>
        <v>#VALUE!</v>
      </c>
      <c r="BJ51" s="84">
        <f t="shared" si="456"/>
        <v>24</v>
      </c>
      <c r="BK51" s="85">
        <v>0.2</v>
      </c>
      <c r="BL51" s="77">
        <f t="shared" si="457"/>
        <v>608</v>
      </c>
      <c r="BM51" s="77">
        <f t="shared" si="458"/>
        <v>518</v>
      </c>
      <c r="BN51" s="77">
        <f t="shared" si="459"/>
        <v>1714.6000000000001</v>
      </c>
      <c r="BO51" s="77">
        <f t="shared" si="460"/>
        <v>140</v>
      </c>
      <c r="BP51" s="77" cm="1">
        <f t="array" ref="BP51">BE51 - _xlfn.IFS(
    _xlfn.XOR(Y51 &lt; 2.5, Y51 = 2.5), 0.5 * AH51,
    _xlfn.XOR(Y51 &lt; 2.5, Y51 = 2.5) = FALSE, 0
)</f>
        <v>2264</v>
      </c>
      <c r="BQ51" s="77">
        <f t="shared" si="461"/>
        <v>8</v>
      </c>
      <c r="BR51" s="77" t="e" vm="1">
        <f>'[1]4 - Flächen'!AI51</f>
        <v>#VALUE!</v>
      </c>
      <c r="BS51" s="26"/>
      <c r="BT51" s="77">
        <f t="shared" si="462"/>
        <v>942.4</v>
      </c>
      <c r="BU51" s="77">
        <f t="shared" si="463"/>
        <v>17844.8</v>
      </c>
      <c r="BV51" s="77">
        <f t="shared" si="464"/>
        <v>1140</v>
      </c>
      <c r="BW51" s="77">
        <f t="shared" si="465"/>
        <v>560</v>
      </c>
      <c r="BX51" s="58"/>
      <c r="BY51" s="58">
        <f t="shared" si="466"/>
        <v>0</v>
      </c>
      <c r="BZ51" s="3"/>
      <c r="CA51" s="86">
        <f t="shared" si="467"/>
        <v>38170.239999999998</v>
      </c>
      <c r="CB51" s="89">
        <v>15</v>
      </c>
      <c r="CC51" s="86">
        <f t="shared" si="468"/>
        <v>45615</v>
      </c>
      <c r="CD51" s="87">
        <f t="shared" si="469"/>
        <v>24.001712328767123</v>
      </c>
      <c r="CE51" s="88">
        <f t="shared" si="470"/>
        <v>0.17103492836879999</v>
      </c>
      <c r="CF51" s="86" t="e">
        <f t="shared" si="471"/>
        <v>#DIV/0!</v>
      </c>
      <c r="CG51" s="86">
        <f>0.3750765973*AC51</f>
        <v>1368.2794269504</v>
      </c>
      <c r="CH51" s="89">
        <v>30</v>
      </c>
      <c r="CI51" s="86">
        <f t="shared" si="472"/>
        <v>91215</v>
      </c>
      <c r="CJ51" s="87">
        <f t="shared" si="473"/>
        <v>48.001712328767127</v>
      </c>
      <c r="CK51" s="88">
        <f t="shared" si="474"/>
        <v>0.18693512178000002</v>
      </c>
      <c r="CL51" s="86" t="e">
        <f t="shared" si="475"/>
        <v>#DIV/0!</v>
      </c>
      <c r="CM51" s="86">
        <f>0.4099454425*AC51</f>
        <v>1495.48097424</v>
      </c>
      <c r="CN51" s="89">
        <v>70</v>
      </c>
      <c r="CO51" s="86">
        <f t="shared" si="476"/>
        <v>212815</v>
      </c>
      <c r="CP51" s="87">
        <f t="shared" si="477"/>
        <v>112.00171232876713</v>
      </c>
      <c r="CQ51" s="88">
        <f t="shared" si="478"/>
        <v>0.22796030875680001</v>
      </c>
      <c r="CR51" s="86" t="e">
        <f t="shared" si="479"/>
        <v>#DIV/0!</v>
      </c>
      <c r="CS51" s="86">
        <f>0.4999129578*AC51</f>
        <v>1823.6824700544</v>
      </c>
      <c r="CT51" s="90">
        <v>3.05</v>
      </c>
      <c r="CU51" s="3"/>
      <c r="CV51" s="86">
        <f t="shared" si="480"/>
        <v>38170.239999999998</v>
      </c>
      <c r="CW51" s="86">
        <v>15</v>
      </c>
      <c r="CX51" s="86">
        <f t="shared" si="481"/>
        <v>45615</v>
      </c>
      <c r="CY51" s="87">
        <f t="shared" si="482"/>
        <v>24.001712328767123</v>
      </c>
      <c r="CZ51" s="88">
        <f t="shared" si="483"/>
        <v>1.8342363025919999</v>
      </c>
      <c r="DA51" s="86" t="e">
        <f t="shared" si="484"/>
        <v>#DIV/0!</v>
      </c>
      <c r="DB51" s="72">
        <f>4.022448032*AC51</f>
        <v>14673.890420735999</v>
      </c>
      <c r="DC51" s="89">
        <v>30</v>
      </c>
      <c r="DD51" s="86">
        <f t="shared" si="485"/>
        <v>91215</v>
      </c>
      <c r="DE51" s="87">
        <f t="shared" si="486"/>
        <v>48.001712328767127</v>
      </c>
      <c r="DF51" s="88">
        <f t="shared" si="487"/>
        <v>1.8613646533608001</v>
      </c>
      <c r="DG51" s="86" t="e">
        <f t="shared" si="488"/>
        <v>#DIV/0!</v>
      </c>
      <c r="DH51" s="86">
        <f>4.0819400293*AC51</f>
        <v>14890.9172268864</v>
      </c>
      <c r="DI51" s="89">
        <v>70</v>
      </c>
      <c r="DJ51" s="86">
        <f t="shared" si="489"/>
        <v>212815</v>
      </c>
      <c r="DK51" s="87">
        <f t="shared" si="490"/>
        <v>112.00171232876713</v>
      </c>
      <c r="DL51" s="88">
        <f t="shared" si="491"/>
        <v>1.9244607249287999</v>
      </c>
      <c r="DM51" s="86" t="e">
        <f t="shared" si="492"/>
        <v>#DIV/0!</v>
      </c>
      <c r="DN51" s="86">
        <f>4.2203086073*AC51</f>
        <v>15395.685799430399</v>
      </c>
      <c r="DO51" s="90">
        <v>3.9</v>
      </c>
      <c r="DP51" s="7"/>
      <c r="DQ51" s="86">
        <f t="shared" si="493"/>
        <v>38170.239999999998</v>
      </c>
      <c r="DR51" s="86">
        <v>15</v>
      </c>
      <c r="DS51" s="86">
        <f t="shared" si="494"/>
        <v>45615</v>
      </c>
      <c r="DT51" s="87">
        <f t="shared" si="495"/>
        <v>24.001712328767123</v>
      </c>
      <c r="DU51" s="88">
        <f t="shared" si="496"/>
        <v>0.10240992419040001</v>
      </c>
      <c r="DV51" s="86">
        <f t="shared" si="497"/>
        <v>26.668569254185691</v>
      </c>
      <c r="DW51" s="86">
        <f>0.424585092*AC51</f>
        <v>1548.886415616</v>
      </c>
      <c r="DX51" s="89">
        <v>30</v>
      </c>
      <c r="DY51" s="86">
        <f t="shared" si="498"/>
        <v>91215</v>
      </c>
      <c r="DZ51" s="87">
        <f t="shared" si="499"/>
        <v>48.001712328767127</v>
      </c>
      <c r="EA51" s="88">
        <f t="shared" si="500"/>
        <v>0.10656154100843999</v>
      </c>
      <c r="EB51" s="86">
        <f t="shared" si="501"/>
        <v>53.335235920852362</v>
      </c>
      <c r="EC51" s="86">
        <f>0.4417974337*AC51</f>
        <v>1611.6770381376</v>
      </c>
      <c r="ED51" s="89">
        <v>70</v>
      </c>
      <c r="EE51" s="86">
        <f t="shared" si="502"/>
        <v>212815</v>
      </c>
      <c r="EF51" s="87">
        <f t="shared" si="503"/>
        <v>112.00171232876713</v>
      </c>
      <c r="EG51" s="88">
        <f t="shared" si="504"/>
        <v>0.13202051394132</v>
      </c>
      <c r="EH51" s="86">
        <f t="shared" si="505"/>
        <v>124.44634703196347</v>
      </c>
      <c r="EI51" s="86">
        <f>0.5473487311*AC51</f>
        <v>1996.7281710528002</v>
      </c>
      <c r="EJ51" s="90">
        <v>3.9</v>
      </c>
    </row>
    <row r="52" spans="1:140">
      <c r="A52" s="20" t="str">
        <f t="shared" si="0"/>
        <v/>
      </c>
      <c r="B52" s="92"/>
      <c r="C52" s="20"/>
      <c r="D52" s="20"/>
      <c r="E52" s="20"/>
      <c r="F52" s="3"/>
      <c r="G52" s="93"/>
      <c r="H52" s="93"/>
      <c r="I52" s="93"/>
      <c r="J52" s="93"/>
      <c r="K52" s="93"/>
      <c r="L52" s="93"/>
      <c r="M52" s="94"/>
      <c r="N52" s="95"/>
      <c r="O52" s="94"/>
      <c r="P52" s="94"/>
      <c r="Q52" s="93"/>
      <c r="R52" s="93"/>
      <c r="S52" s="21">
        <f t="shared" si="4"/>
        <v>0</v>
      </c>
      <c r="T52" s="3"/>
      <c r="U52" s="34"/>
      <c r="V52" s="96"/>
      <c r="W52" s="96"/>
      <c r="X52" s="3"/>
      <c r="Y52" s="28"/>
      <c r="Z52" s="34"/>
      <c r="AA52" s="34"/>
      <c r="AB52" s="34"/>
      <c r="AC52" s="26">
        <f>Z52*(1-0.15)</f>
        <v>0</v>
      </c>
      <c r="AD52" s="34">
        <f t="shared" si="441"/>
        <v>0</v>
      </c>
      <c r="AE52" s="34"/>
      <c r="AF52" s="34"/>
      <c r="AG52" s="3"/>
      <c r="AH52" s="34">
        <f t="shared" si="14"/>
        <v>0</v>
      </c>
      <c r="AI52" s="93"/>
      <c r="AJ52" s="34"/>
      <c r="AK52" s="34"/>
      <c r="AL52" s="34"/>
      <c r="AM52" s="117"/>
      <c r="AN52" s="3"/>
      <c r="AO52" s="93"/>
      <c r="AP52" s="98"/>
      <c r="AQ52" s="99"/>
      <c r="AR52" s="3"/>
      <c r="AS52" s="34"/>
      <c r="AT52" s="3"/>
      <c r="AU52" s="99"/>
      <c r="AV52" s="34"/>
      <c r="AW52" s="34"/>
      <c r="AX52" s="99"/>
      <c r="AY52" s="99"/>
      <c r="AZ52" s="11"/>
      <c r="BA52" s="3"/>
      <c r="BB52" s="3"/>
      <c r="BC52" s="11"/>
      <c r="BD52" s="11"/>
      <c r="BE52" s="11"/>
      <c r="BF52" s="11"/>
      <c r="BG52" s="11"/>
      <c r="BH52" s="11"/>
      <c r="BI52" s="11"/>
      <c r="BJ52" s="100">
        <f t="shared" si="456"/>
        <v>0</v>
      </c>
      <c r="BK52" s="101"/>
      <c r="BL52" s="11"/>
      <c r="BM52" s="11"/>
      <c r="BN52" s="26">
        <f>99.73*AY52</f>
        <v>0</v>
      </c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3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102"/>
      <c r="CO52" s="7"/>
      <c r="CP52" s="7"/>
      <c r="CQ52" s="7"/>
      <c r="CR52" s="103"/>
      <c r="CS52" s="103"/>
      <c r="CT52" s="103"/>
      <c r="CU52" s="3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102"/>
      <c r="DH52" s="102"/>
      <c r="DI52" s="102"/>
      <c r="DJ52" s="102"/>
      <c r="DK52" s="7"/>
      <c r="DL52" s="7"/>
      <c r="DM52" s="103"/>
      <c r="DN52" s="102"/>
      <c r="DO52" s="104"/>
      <c r="DP52" s="7"/>
      <c r="DQ52" s="7"/>
      <c r="DR52" s="7"/>
      <c r="DS52" s="7"/>
      <c r="DT52" s="7"/>
      <c r="DU52" s="7"/>
      <c r="DV52" s="7"/>
      <c r="DW52" s="102"/>
      <c r="DX52" s="7"/>
      <c r="DY52" s="7"/>
      <c r="DZ52" s="7"/>
      <c r="EA52" s="7"/>
      <c r="EB52" s="7"/>
      <c r="EC52" s="102"/>
      <c r="ED52" s="102"/>
      <c r="EE52" s="7"/>
      <c r="EF52" s="7"/>
      <c r="EG52" s="7"/>
      <c r="EH52" s="7"/>
      <c r="EI52" s="102"/>
      <c r="EJ52" s="7"/>
    </row>
    <row r="53" spans="1:140">
      <c r="A53" s="18" t="str">
        <f t="shared" si="0"/>
        <v>RgGi</v>
      </c>
      <c r="B53" s="19">
        <v>300</v>
      </c>
      <c r="C53" s="18" t="s">
        <v>87</v>
      </c>
      <c r="D53" s="18" t="s">
        <v>76</v>
      </c>
      <c r="E53" s="18" t="s">
        <v>83</v>
      </c>
      <c r="F53" s="3"/>
      <c r="G53" s="21">
        <v>60000</v>
      </c>
      <c r="H53" s="21">
        <f t="shared" ref="H53:M53" si="506">H43*6</f>
        <v>43350</v>
      </c>
      <c r="I53" s="21">
        <f t="shared" si="506"/>
        <v>6984</v>
      </c>
      <c r="J53" s="21">
        <f t="shared" si="506"/>
        <v>5586</v>
      </c>
      <c r="K53" s="21">
        <f t="shared" si="506"/>
        <v>4080</v>
      </c>
      <c r="L53" s="21">
        <f t="shared" si="506"/>
        <v>12540</v>
      </c>
      <c r="M53" s="21">
        <f t="shared" si="506"/>
        <v>1485</v>
      </c>
      <c r="N53" s="23">
        <f t="shared" ref="N53:N61" si="507">(L53+M53)/G53</f>
        <v>0.23375000000000001</v>
      </c>
      <c r="O53" s="24"/>
      <c r="P53" s="176"/>
      <c r="Q53" s="21">
        <f>Q43*6</f>
        <v>6270</v>
      </c>
      <c r="R53" s="21">
        <f t="shared" ref="R53:R61" si="508">Q53*0.8</f>
        <v>5016</v>
      </c>
      <c r="S53" s="21">
        <f t="shared" si="4"/>
        <v>18810</v>
      </c>
      <c r="T53" s="3"/>
      <c r="U53" s="26">
        <f t="shared" ref="U53:U61" si="509">L53+M53</f>
        <v>14025</v>
      </c>
      <c r="V53" s="27">
        <f t="shared" ref="V53:V61" si="510">U53/G53</f>
        <v>0.23375000000000001</v>
      </c>
      <c r="W53" s="108">
        <f t="shared" ref="W53:W61" si="511">Z53/G53</f>
        <v>0.33825</v>
      </c>
      <c r="X53" s="3"/>
      <c r="Y53" s="29">
        <v>1.5</v>
      </c>
      <c r="Z53" s="26">
        <f t="shared" ref="Z53:Z61" si="512">(L53*Y53)+M53</f>
        <v>20295</v>
      </c>
      <c r="AA53" s="26">
        <f t="shared" ref="AA53:AA61" si="513">Z53*0.8</f>
        <v>16236</v>
      </c>
      <c r="AB53" s="26">
        <f t="shared" ref="AB53:AB61" si="514">(L53*Y53)+BH53</f>
        <v>25080</v>
      </c>
      <c r="AC53" s="21">
        <f>AC43*6</f>
        <v>20064</v>
      </c>
      <c r="AD53" s="26">
        <f t="shared" si="441"/>
        <v>15048</v>
      </c>
      <c r="AE53" s="26">
        <f t="shared" ref="AE53:AE61" si="515">2.5*AY53</f>
        <v>247.5</v>
      </c>
      <c r="AF53" s="26">
        <f t="shared" ref="AF53:AF61" si="516">AD53-AE53</f>
        <v>14800.5</v>
      </c>
      <c r="AG53" s="3"/>
      <c r="AH53" s="26">
        <f t="shared" si="14"/>
        <v>12540</v>
      </c>
      <c r="AI53" s="26">
        <f t="shared" ref="AI53:AL53" si="517">AI43*6</f>
        <v>16288.800000000001</v>
      </c>
      <c r="AJ53" s="26">
        <f t="shared" si="517"/>
        <v>11052</v>
      </c>
      <c r="AK53" s="26">
        <f t="shared" si="517"/>
        <v>39880.800000000003</v>
      </c>
      <c r="AL53" s="26">
        <f t="shared" si="517"/>
        <v>70124.399999999994</v>
      </c>
      <c r="AM53" s="31">
        <f t="shared" ref="AM53:AM61" si="518">AK53/AL53</f>
        <v>0.56871502643872895</v>
      </c>
      <c r="AN53" s="3"/>
      <c r="AO53" s="21">
        <f t="shared" ref="AO53:AP53" si="519">AO43*6</f>
        <v>1200</v>
      </c>
      <c r="AP53" s="33">
        <f t="shared" si="519"/>
        <v>1386</v>
      </c>
      <c r="AQ53" s="26">
        <f t="shared" ref="AQ53:AQ61" si="520">AO53+AP53</f>
        <v>2586</v>
      </c>
      <c r="AR53" s="3"/>
      <c r="AS53" s="21">
        <f>AS43*6</f>
        <v>36</v>
      </c>
      <c r="AT53" s="3"/>
      <c r="AU53" s="26">
        <v>47</v>
      </c>
      <c r="AV53" s="26">
        <v>152</v>
      </c>
      <c r="AW53" s="26">
        <v>190</v>
      </c>
      <c r="AX53" s="35">
        <f>AX43*6</f>
        <v>320.17021276595744</v>
      </c>
      <c r="AY53" s="35">
        <f t="shared" ref="AY53:AY61" si="521">AD53/AV53</f>
        <v>99</v>
      </c>
      <c r="AZ53" s="35">
        <f t="shared" ref="AZ53:AZ61" si="522">L53/AX53</f>
        <v>39.166666666666664</v>
      </c>
      <c r="BA53" s="35">
        <f t="shared" ref="BA53:BA61" si="523">L53/AY53</f>
        <v>126.66666666666667</v>
      </c>
      <c r="BB53" s="3"/>
      <c r="BC53" s="36" t="s">
        <v>78</v>
      </c>
      <c r="BD53" s="26">
        <f t="shared" ref="BD53:BD61" si="524">AH53</f>
        <v>12540</v>
      </c>
      <c r="BE53" s="21">
        <f t="shared" ref="BE53:BF53" si="525">BE43*6</f>
        <v>14976</v>
      </c>
      <c r="BF53" s="21" t="e" vm="2">
        <f t="shared" si="525"/>
        <v>#VALUE!</v>
      </c>
      <c r="BG53" s="26" t="e" vm="2">
        <f t="shared" ref="BG53:BG61" si="526">BF53-BL53-((2.2*1.1)*BJ53)</f>
        <v>#VALUE!</v>
      </c>
      <c r="BH53" s="26">
        <f t="shared" ref="BH53:BH61" si="527">Q53</f>
        <v>6270</v>
      </c>
      <c r="BI53" s="21" t="e" vm="2">
        <f t="shared" ref="BI53:BJ53" si="528">BI43*6</f>
        <v>#VALUE!</v>
      </c>
      <c r="BJ53" s="21">
        <f t="shared" si="528"/>
        <v>135</v>
      </c>
      <c r="BK53" s="106">
        <v>0.2</v>
      </c>
      <c r="BL53" s="21">
        <f t="shared" ref="BL53:BR53" si="529">BL43*6</f>
        <v>3009.6000000000004</v>
      </c>
      <c r="BM53" s="21">
        <f t="shared" si="529"/>
        <v>2564.1</v>
      </c>
      <c r="BN53" s="21">
        <f t="shared" si="529"/>
        <v>8487.27</v>
      </c>
      <c r="BO53" s="21">
        <f t="shared" si="529"/>
        <v>693</v>
      </c>
      <c r="BP53" s="21">
        <f t="shared" si="529"/>
        <v>8706</v>
      </c>
      <c r="BQ53" s="21">
        <f t="shared" si="529"/>
        <v>36</v>
      </c>
      <c r="BR53" s="21" t="e" vm="2">
        <f t="shared" si="529"/>
        <v>#VALUE!</v>
      </c>
      <c r="BS53" s="26"/>
      <c r="BT53" s="21">
        <f t="shared" ref="BT53:BW53" si="530">BT43*6</f>
        <v>4664.88</v>
      </c>
      <c r="BU53" s="21">
        <f t="shared" si="530"/>
        <v>88331.760000000009</v>
      </c>
      <c r="BV53" s="21">
        <f t="shared" si="530"/>
        <v>5643</v>
      </c>
      <c r="BW53" s="21">
        <f t="shared" si="530"/>
        <v>2772</v>
      </c>
      <c r="BX53" s="26"/>
      <c r="BY53" s="26">
        <f t="shared" ref="BY53:BY61" si="531">BY43*6</f>
        <v>0</v>
      </c>
      <c r="BZ53" s="3"/>
      <c r="CA53" s="40">
        <f t="shared" ref="CA53:CA61" si="532">(34.4*365*$AD53)/1000</f>
        <v>188942.68799999999</v>
      </c>
      <c r="CB53" s="40">
        <v>15</v>
      </c>
      <c r="CC53" s="40">
        <f t="shared" ref="CC53:CC61" si="533">$AD53*CB53+($CB53)</f>
        <v>225735</v>
      </c>
      <c r="CD53" s="41">
        <f t="shared" ref="CD53:CD61" si="534">((CC53-$CB53)/1900)+($CB53/8760)</f>
        <v>118.80171232876712</v>
      </c>
      <c r="CE53" s="42">
        <f t="shared" ref="CE53:CE61" si="535">((380*$CG53)/1000)/$AD53</f>
        <v>0.19317675637599999</v>
      </c>
      <c r="CF53" s="40" t="e">
        <f t="shared" ref="CF53:CF61" si="536">$CD53/$CU53</f>
        <v>#DIV/0!</v>
      </c>
      <c r="CG53" s="21">
        <f>CG43*6</f>
        <v>7649.7995524895996</v>
      </c>
      <c r="CH53" s="43">
        <v>30</v>
      </c>
      <c r="CI53" s="40">
        <f t="shared" ref="CI53:CI61" si="537">$AD53*CH53+($CB53)</f>
        <v>451455</v>
      </c>
      <c r="CJ53" s="41">
        <f t="shared" ref="CJ53:CJ61" si="538">((CI53-$CB53)/1900)+($CB53/8760)</f>
        <v>237.60171232876712</v>
      </c>
      <c r="CK53" s="42">
        <f t="shared" ref="CK53:CK61" si="539">((380*$CM53)/1000)/$AD53</f>
        <v>0.21784963754933337</v>
      </c>
      <c r="CL53" s="40" t="e">
        <f t="shared" ref="CL53:CL61" si="540">$CJ53/$CU53</f>
        <v>#DIV/0!</v>
      </c>
      <c r="CM53" s="21">
        <f>CM43*6</f>
        <v>8626.8456469536013</v>
      </c>
      <c r="CN53" s="43">
        <v>70</v>
      </c>
      <c r="CO53" s="40">
        <f t="shared" ref="CO53:CO61" si="541">$AD53*CN53+($CB53)</f>
        <v>1053375</v>
      </c>
      <c r="CP53" s="41">
        <f t="shared" ref="CP53:CP61" si="542">((CO53-$CB53)/1900)+($CB53/8760)</f>
        <v>554.40171232876708</v>
      </c>
      <c r="CQ53" s="42">
        <f t="shared" ref="CQ53:CQ61" si="543">((380*$CS53)/1000)/$AD53</f>
        <v>0.26684070941599997</v>
      </c>
      <c r="CR53" s="40" t="e">
        <f t="shared" ref="CR53:CR61" si="544">$CP53/$CU53</f>
        <v>#DIV/0!</v>
      </c>
      <c r="CS53" s="21">
        <f>CS43*6</f>
        <v>10566.892092873599</v>
      </c>
      <c r="CT53" s="44">
        <v>3.05</v>
      </c>
      <c r="CU53" s="3"/>
      <c r="CV53" s="40">
        <f t="shared" ref="CV53:CV61" si="545">(34.4*365*$AD53)/1000</f>
        <v>188942.68799999999</v>
      </c>
      <c r="CW53" s="40">
        <v>15</v>
      </c>
      <c r="CX53" s="40">
        <f t="shared" ref="CX53:CX61" si="546">$AD53*CW53+($CW53)</f>
        <v>225735</v>
      </c>
      <c r="CY53" s="41">
        <f t="shared" ref="CY53:CY61" si="547">((CX53-$CW53)/1900)+($CW53/8760)</f>
        <v>118.80171232876712</v>
      </c>
      <c r="CZ53" s="42">
        <f t="shared" ref="CZ53:CZ61" si="548">((380*$DB53)/1000)/$AD53</f>
        <v>2.9927653049546663</v>
      </c>
      <c r="DA53" s="40" t="e">
        <f t="shared" ref="DA53:DA61" si="549">$CY53/$DP53</f>
        <v>#DIV/0!</v>
      </c>
      <c r="DB53" s="21">
        <f>DB43*6</f>
        <v>118513.50607620479</v>
      </c>
      <c r="DC53" s="43">
        <v>30</v>
      </c>
      <c r="DD53" s="40">
        <f t="shared" ref="DD53:DD61" si="550">$AD53*DC53+($CW53)</f>
        <v>451455</v>
      </c>
      <c r="DE53" s="41">
        <f t="shared" ref="DE53:DE61" si="551">((DD53-$CW53)/1900)+($CW53/8760)</f>
        <v>237.60171232876712</v>
      </c>
      <c r="DF53" s="42">
        <f t="shared" ref="DF53:DF61" si="552">((380*$DH53)/1000)/$AD53</f>
        <v>3.0306384807146669</v>
      </c>
      <c r="DG53" s="40" t="e">
        <f t="shared" ref="DG53:DG61" si="553">$DE53/$DP53</f>
        <v>#DIV/0!</v>
      </c>
      <c r="DH53" s="21">
        <f>DH43*6</f>
        <v>120013.2838363008</v>
      </c>
      <c r="DI53" s="43">
        <v>70</v>
      </c>
      <c r="DJ53" s="40">
        <f t="shared" ref="DJ53:DJ61" si="554">$AD53*DI53+($CW53)</f>
        <v>1053375</v>
      </c>
      <c r="DK53" s="41">
        <f t="shared" ref="DK53:DK61" si="555">((DJ53-$CW53)/1900)+($CW53/8760)</f>
        <v>554.40171232876708</v>
      </c>
      <c r="DL53" s="42">
        <f t="shared" ref="DL53:DL61" si="556">((380*$DN53)/1000)/$AD53</f>
        <v>3.1148123073146672</v>
      </c>
      <c r="DM53" s="40" t="e">
        <f t="shared" ref="DM53:DM61" si="557">$DK53/$DP53</f>
        <v>#DIV/0!</v>
      </c>
      <c r="DN53" s="21">
        <f>DN43*6</f>
        <v>123346.56736966081</v>
      </c>
      <c r="DO53" s="44">
        <v>3.9</v>
      </c>
      <c r="DP53" s="7"/>
      <c r="DQ53" s="40">
        <f t="shared" ref="DQ53:DQ61" si="558">(34.4*365*$AD53)/1000</f>
        <v>188942.68799999999</v>
      </c>
      <c r="DR53" s="40">
        <v>15</v>
      </c>
      <c r="DS53" s="40">
        <f t="shared" ref="DS53:DS61" si="559">$AD53*DR53+($DR53)</f>
        <v>225735</v>
      </c>
      <c r="DT53" s="41">
        <f t="shared" ref="DT53:DT61" si="560">((DS53-$DR53)/1900)+($DR53/8760)</f>
        <v>118.80171232876712</v>
      </c>
      <c r="DU53" s="42">
        <f t="shared" ref="DU53:DU61" si="561">((201*$DW53)/1000)/$AD53</f>
        <v>0.12618930495399999</v>
      </c>
      <c r="DV53" s="40">
        <f t="shared" ref="DV53:DV61" si="562">$DT53/0.9</f>
        <v>132.00190258751903</v>
      </c>
      <c r="DW53" s="21">
        <f>DW43*6</f>
        <v>9447.2470693920004</v>
      </c>
      <c r="DX53" s="43">
        <v>30</v>
      </c>
      <c r="DY53" s="40">
        <f t="shared" ref="DY53:DY61" si="563">$AD53*DX53+($DR53)</f>
        <v>451455</v>
      </c>
      <c r="DZ53" s="41">
        <f t="shared" ref="DZ53:DZ61" si="564">((DY53-$DR53)/1900)+($DR53/8760)</f>
        <v>237.60171232876712</v>
      </c>
      <c r="EA53" s="42">
        <f t="shared" ref="EA53:EA61" si="565">((201*$EC53)/1000)/$AD53</f>
        <v>0.1335185377052</v>
      </c>
      <c r="EB53" s="40">
        <f t="shared" ref="EB53:EB61" si="566">$DZ53/0.9</f>
        <v>264.001902587519</v>
      </c>
      <c r="EC53" s="21">
        <f>EC43*6</f>
        <v>9995.9550019296003</v>
      </c>
      <c r="ED53" s="43">
        <v>70</v>
      </c>
      <c r="EE53" s="40">
        <f t="shared" ref="EE53:EE61" si="567">$AD53*ED53+($DR53)</f>
        <v>1053375</v>
      </c>
      <c r="EF53" s="41">
        <f t="shared" ref="EF53:EF61" si="568">((EE53-$DR53)/1900)+($DR53/8760)</f>
        <v>554.40171232876708</v>
      </c>
      <c r="EG53" s="42">
        <f t="shared" ref="EG53:EG61" si="569">((201*$EI53)/1000)/$AD53</f>
        <v>0.1459836999712</v>
      </c>
      <c r="EH53" s="40">
        <f t="shared" ref="EH53:EH61" si="570">$EF53/0.9</f>
        <v>616.001902587519</v>
      </c>
      <c r="EI53" s="21">
        <f>EI43*6</f>
        <v>10929.167747097599</v>
      </c>
      <c r="EJ53" s="44">
        <v>3.9</v>
      </c>
    </row>
    <row r="54" spans="1:140">
      <c r="A54" s="18" t="str">
        <f t="shared" si="0"/>
        <v>RgSc</v>
      </c>
      <c r="B54" s="19">
        <v>301</v>
      </c>
      <c r="C54" s="18" t="s">
        <v>87</v>
      </c>
      <c r="D54" s="18" t="s">
        <v>76</v>
      </c>
      <c r="E54" s="18" t="s">
        <v>84</v>
      </c>
      <c r="F54" s="3"/>
      <c r="G54" s="21">
        <v>60000</v>
      </c>
      <c r="H54" s="21">
        <f t="shared" ref="H54:M54" si="571">(H44*4)+(H43*2)</f>
        <v>48450</v>
      </c>
      <c r="I54" s="21">
        <f t="shared" si="571"/>
        <v>4728</v>
      </c>
      <c r="J54" s="21">
        <f t="shared" si="571"/>
        <v>4102</v>
      </c>
      <c r="K54" s="21">
        <f t="shared" si="571"/>
        <v>2720</v>
      </c>
      <c r="L54" s="21">
        <f t="shared" si="571"/>
        <v>10640</v>
      </c>
      <c r="M54" s="21">
        <f t="shared" si="571"/>
        <v>1260</v>
      </c>
      <c r="N54" s="23">
        <f t="shared" si="507"/>
        <v>0.19833333333333333</v>
      </c>
      <c r="O54" s="177"/>
      <c r="P54" s="178"/>
      <c r="Q54" s="45">
        <f>Q43*2+Q44*4</f>
        <v>5320</v>
      </c>
      <c r="R54" s="21">
        <f t="shared" si="508"/>
        <v>4256</v>
      </c>
      <c r="S54" s="21">
        <f t="shared" si="4"/>
        <v>15960</v>
      </c>
      <c r="T54" s="3"/>
      <c r="U54" s="26">
        <f t="shared" si="509"/>
        <v>11900</v>
      </c>
      <c r="V54" s="27">
        <f t="shared" si="510"/>
        <v>0.19833333333333333</v>
      </c>
      <c r="W54" s="108">
        <f t="shared" si="511"/>
        <v>0.28699999999999998</v>
      </c>
      <c r="X54" s="3"/>
      <c r="Y54" s="29">
        <v>1.5</v>
      </c>
      <c r="Z54" s="26">
        <f t="shared" si="512"/>
        <v>17220</v>
      </c>
      <c r="AA54" s="26">
        <f t="shared" si="513"/>
        <v>13776</v>
      </c>
      <c r="AB54" s="26">
        <f t="shared" si="514"/>
        <v>21280</v>
      </c>
      <c r="AC54" s="21">
        <f>(AC44*4)+(AC43*2)</f>
        <v>17024</v>
      </c>
      <c r="AD54" s="26">
        <f t="shared" si="441"/>
        <v>12768</v>
      </c>
      <c r="AE54" s="26">
        <f t="shared" si="515"/>
        <v>210</v>
      </c>
      <c r="AF54" s="26">
        <f t="shared" si="516"/>
        <v>12558</v>
      </c>
      <c r="AG54" s="3"/>
      <c r="AH54" s="26">
        <f t="shared" si="14"/>
        <v>10640</v>
      </c>
      <c r="AI54" s="45">
        <f t="shared" ref="AI54:AJ54" si="572">(AI43*2)+(AI44*4)</f>
        <v>13820.800000000001</v>
      </c>
      <c r="AJ54" s="45">
        <f t="shared" si="572"/>
        <v>9580.7999999999993</v>
      </c>
      <c r="AK54" s="26">
        <f t="shared" ref="AK54:AK58" si="573">SUM(AH54:AJ54)</f>
        <v>34041.600000000006</v>
      </c>
      <c r="AL54" s="26">
        <f>AL43*2+AL44*4</f>
        <v>59499.199999999997</v>
      </c>
      <c r="AM54" s="31">
        <f t="shared" si="518"/>
        <v>0.57213542366956205</v>
      </c>
      <c r="AN54" s="3"/>
      <c r="AO54" s="21">
        <f t="shared" ref="AO54:AP54" si="574">AO43*2+AO44*4</f>
        <v>800</v>
      </c>
      <c r="AP54" s="33">
        <f t="shared" si="574"/>
        <v>1176</v>
      </c>
      <c r="AQ54" s="26">
        <f t="shared" si="520"/>
        <v>1976</v>
      </c>
      <c r="AR54" s="3"/>
      <c r="AS54" s="21">
        <f>(AS44*4)+(AS43*2)</f>
        <v>32</v>
      </c>
      <c r="AT54" s="3"/>
      <c r="AU54" s="26">
        <v>47</v>
      </c>
      <c r="AV54" s="26">
        <v>152</v>
      </c>
      <c r="AW54" s="26">
        <v>190</v>
      </c>
      <c r="AX54" s="35">
        <f>AX43*2+AX44*4</f>
        <v>271.65957446808511</v>
      </c>
      <c r="AY54" s="35">
        <f t="shared" si="521"/>
        <v>84</v>
      </c>
      <c r="AZ54" s="35">
        <f t="shared" si="522"/>
        <v>39.166666666666664</v>
      </c>
      <c r="BA54" s="35">
        <f t="shared" si="523"/>
        <v>126.66666666666667</v>
      </c>
      <c r="BB54" s="3"/>
      <c r="BC54" s="36" t="s">
        <v>78</v>
      </c>
      <c r="BD54" s="26">
        <f t="shared" si="524"/>
        <v>10640</v>
      </c>
      <c r="BE54" s="21">
        <f t="shared" ref="BE54:BF54" si="575">(BE44*4)+(BE43*2)</f>
        <v>12704</v>
      </c>
      <c r="BF54" s="21" t="e" vm="2">
        <f t="shared" si="575"/>
        <v>#VALUE!</v>
      </c>
      <c r="BG54" s="26" t="e" vm="2">
        <f t="shared" si="526"/>
        <v>#VALUE!</v>
      </c>
      <c r="BH54" s="26">
        <f t="shared" si="527"/>
        <v>5320</v>
      </c>
      <c r="BI54" s="21" t="e" vm="2">
        <f t="shared" ref="BI54:BJ54" si="576">(BI44*4)+(BI43*2)</f>
        <v>#VALUE!</v>
      </c>
      <c r="BJ54" s="21">
        <f t="shared" si="576"/>
        <v>116</v>
      </c>
      <c r="BK54" s="106">
        <v>0.2</v>
      </c>
      <c r="BL54" s="21">
        <f t="shared" ref="BL54:BR54" si="577">(BL44*4)+(BL43*2)</f>
        <v>2553.6000000000004</v>
      </c>
      <c r="BM54" s="21">
        <f t="shared" si="577"/>
        <v>2175.6</v>
      </c>
      <c r="BN54" s="21">
        <f t="shared" si="577"/>
        <v>7201.3200000000006</v>
      </c>
      <c r="BO54" s="21">
        <f t="shared" si="577"/>
        <v>588</v>
      </c>
      <c r="BP54" s="21">
        <f t="shared" si="577"/>
        <v>7384</v>
      </c>
      <c r="BQ54" s="21">
        <f t="shared" si="577"/>
        <v>32</v>
      </c>
      <c r="BR54" s="21" t="e" vm="2">
        <f t="shared" si="577"/>
        <v>#VALUE!</v>
      </c>
      <c r="BS54" s="26"/>
      <c r="BT54" s="21">
        <f t="shared" ref="BT54:BW54" si="578">(BT44*4)+(BT43*2)</f>
        <v>3958.08</v>
      </c>
      <c r="BU54" s="21">
        <f t="shared" si="578"/>
        <v>74948.160000000003</v>
      </c>
      <c r="BV54" s="21">
        <f t="shared" si="578"/>
        <v>4788</v>
      </c>
      <c r="BW54" s="21">
        <f t="shared" si="578"/>
        <v>2352</v>
      </c>
      <c r="BX54" s="26"/>
      <c r="BY54" s="26">
        <f t="shared" si="531"/>
        <v>0</v>
      </c>
      <c r="BZ54" s="3"/>
      <c r="CA54" s="40">
        <f t="shared" si="532"/>
        <v>160315.008</v>
      </c>
      <c r="CB54" s="40">
        <v>15</v>
      </c>
      <c r="CC54" s="40">
        <f t="shared" si="533"/>
        <v>191535</v>
      </c>
      <c r="CD54" s="41">
        <f t="shared" si="534"/>
        <v>100.80171232876712</v>
      </c>
      <c r="CE54" s="42">
        <f t="shared" si="535"/>
        <v>0.19730074467095235</v>
      </c>
      <c r="CF54" s="40" t="e">
        <f t="shared" si="536"/>
        <v>#DIV/0!</v>
      </c>
      <c r="CG54" s="21">
        <f>(CG44*4)+(CG43*2)</f>
        <v>6629.3050209439989</v>
      </c>
      <c r="CH54" s="43">
        <v>30</v>
      </c>
      <c r="CI54" s="40">
        <f t="shared" si="537"/>
        <v>383055</v>
      </c>
      <c r="CJ54" s="41">
        <f t="shared" si="538"/>
        <v>201.60171232876712</v>
      </c>
      <c r="CK54" s="42">
        <f t="shared" si="539"/>
        <v>0.22257231111238096</v>
      </c>
      <c r="CL54" s="40" t="e">
        <f t="shared" si="540"/>
        <v>#DIV/0!</v>
      </c>
      <c r="CM54" s="21">
        <f>(CM44*4)+(CM43*2)</f>
        <v>7478.4296533760007</v>
      </c>
      <c r="CN54" s="43">
        <v>70</v>
      </c>
      <c r="CO54" s="40">
        <f t="shared" si="541"/>
        <v>893775</v>
      </c>
      <c r="CP54" s="41">
        <f t="shared" si="542"/>
        <v>470.40171232876708</v>
      </c>
      <c r="CQ54" s="42">
        <f t="shared" si="543"/>
        <v>0.26641624068866665</v>
      </c>
      <c r="CR54" s="40" t="e">
        <f t="shared" si="544"/>
        <v>#DIV/0!</v>
      </c>
      <c r="CS54" s="21">
        <f>(CS44*4)+(CS43*2)</f>
        <v>8951.5856871391989</v>
      </c>
      <c r="CT54" s="44">
        <v>3.05</v>
      </c>
      <c r="CU54" s="3"/>
      <c r="CV54" s="40">
        <f t="shared" si="545"/>
        <v>160315.008</v>
      </c>
      <c r="CW54" s="40">
        <v>15</v>
      </c>
      <c r="CX54" s="40">
        <f t="shared" si="546"/>
        <v>191535</v>
      </c>
      <c r="CY54" s="41">
        <f t="shared" si="547"/>
        <v>100.80171232876712</v>
      </c>
      <c r="CZ54" s="42">
        <f t="shared" si="548"/>
        <v>2.9750956264075237</v>
      </c>
      <c r="DA54" s="40" t="e">
        <f t="shared" si="549"/>
        <v>#DIV/0!</v>
      </c>
      <c r="DB54" s="21">
        <f>(DB44*4)+(DB43*2)</f>
        <v>99963.213047292797</v>
      </c>
      <c r="DC54" s="43">
        <v>30</v>
      </c>
      <c r="DD54" s="40">
        <f t="shared" si="550"/>
        <v>383055</v>
      </c>
      <c r="DE54" s="41">
        <f t="shared" si="551"/>
        <v>201.60171232876712</v>
      </c>
      <c r="DF54" s="42">
        <f t="shared" si="552"/>
        <v>3.0143271583339044</v>
      </c>
      <c r="DG54" s="40" t="e">
        <f t="shared" si="553"/>
        <v>#DIV/0!</v>
      </c>
      <c r="DH54" s="21">
        <f>(DH44*4)+(DH43*2)</f>
        <v>101281.3925200192</v>
      </c>
      <c r="DI54" s="43">
        <v>70</v>
      </c>
      <c r="DJ54" s="40">
        <f t="shared" si="554"/>
        <v>893775</v>
      </c>
      <c r="DK54" s="41">
        <f t="shared" si="555"/>
        <v>470.40171232876708</v>
      </c>
      <c r="DL54" s="42">
        <f t="shared" si="556"/>
        <v>3.0933437449252379</v>
      </c>
      <c r="DM54" s="40" t="e">
        <f t="shared" si="557"/>
        <v>#DIV/0!</v>
      </c>
      <c r="DN54" s="21">
        <f>(DN44*4)+(DN43*2)</f>
        <v>103936.349829488</v>
      </c>
      <c r="DO54" s="44">
        <v>3.9</v>
      </c>
      <c r="DP54" s="7"/>
      <c r="DQ54" s="40">
        <f t="shared" si="558"/>
        <v>160315.008</v>
      </c>
      <c r="DR54" s="40">
        <v>15</v>
      </c>
      <c r="DS54" s="40">
        <f t="shared" si="559"/>
        <v>191535</v>
      </c>
      <c r="DT54" s="41">
        <f t="shared" si="560"/>
        <v>100.80171232876712</v>
      </c>
      <c r="DU54" s="42">
        <f t="shared" si="561"/>
        <v>0.12864931865097143</v>
      </c>
      <c r="DV54" s="40">
        <f t="shared" si="562"/>
        <v>112.00190258751903</v>
      </c>
      <c r="DW54" s="21">
        <f>(DW44*4)+(DW43*2)</f>
        <v>8172.1119429631999</v>
      </c>
      <c r="DX54" s="43">
        <v>30</v>
      </c>
      <c r="DY54" s="40">
        <f t="shared" si="563"/>
        <v>383055</v>
      </c>
      <c r="DZ54" s="41">
        <f t="shared" si="564"/>
        <v>201.60171232876712</v>
      </c>
      <c r="EA54" s="42">
        <f t="shared" si="565"/>
        <v>0.13669243758328573</v>
      </c>
      <c r="EB54" s="40">
        <f t="shared" si="566"/>
        <v>224.00190258751903</v>
      </c>
      <c r="EC54" s="21">
        <f>(EC44*4)+(EC43*2)</f>
        <v>8683.0300649919991</v>
      </c>
      <c r="ED54" s="43">
        <v>70</v>
      </c>
      <c r="EE54" s="40">
        <f t="shared" si="567"/>
        <v>893775</v>
      </c>
      <c r="EF54" s="41">
        <f t="shared" si="568"/>
        <v>470.40171232876708</v>
      </c>
      <c r="EG54" s="42">
        <f t="shared" si="569"/>
        <v>0.14592803367301427</v>
      </c>
      <c r="EH54" s="40">
        <f t="shared" si="570"/>
        <v>522.66856925418563</v>
      </c>
      <c r="EI54" s="21">
        <f>(EI44*4)+(EI43*2)</f>
        <v>9269.6971837664005</v>
      </c>
      <c r="EJ54" s="44">
        <v>3.9</v>
      </c>
    </row>
    <row r="55" spans="1:140">
      <c r="A55" s="18" t="str">
        <f t="shared" si="0"/>
        <v>RgSa</v>
      </c>
      <c r="B55" s="19">
        <v>302</v>
      </c>
      <c r="C55" s="18" t="s">
        <v>87</v>
      </c>
      <c r="D55" s="18" t="s">
        <v>76</v>
      </c>
      <c r="E55" s="18" t="s">
        <v>85</v>
      </c>
      <c r="F55" s="3"/>
      <c r="G55" s="21">
        <v>60000</v>
      </c>
      <c r="H55" s="21">
        <f t="shared" ref="H55:M55" si="579">(H45*4)+(H43*2)</f>
        <v>48422</v>
      </c>
      <c r="I55" s="21">
        <f t="shared" si="579"/>
        <v>5384</v>
      </c>
      <c r="J55" s="21">
        <f t="shared" si="579"/>
        <v>3554</v>
      </c>
      <c r="K55" s="21">
        <f t="shared" si="579"/>
        <v>2640</v>
      </c>
      <c r="L55" s="21">
        <f t="shared" si="579"/>
        <v>10260</v>
      </c>
      <c r="M55" s="21">
        <f t="shared" si="579"/>
        <v>1215</v>
      </c>
      <c r="N55" s="23">
        <f t="shared" si="507"/>
        <v>0.19125</v>
      </c>
      <c r="O55" s="179"/>
      <c r="P55" s="180"/>
      <c r="Q55" s="21">
        <f>Q43*2+Q45*4</f>
        <v>5130</v>
      </c>
      <c r="R55" s="21">
        <f t="shared" si="508"/>
        <v>4104</v>
      </c>
      <c r="S55" s="21">
        <f t="shared" si="4"/>
        <v>15390</v>
      </c>
      <c r="T55" s="3"/>
      <c r="U55" s="26">
        <f t="shared" si="509"/>
        <v>11475</v>
      </c>
      <c r="V55" s="27">
        <f t="shared" si="510"/>
        <v>0.19125</v>
      </c>
      <c r="W55" s="108">
        <f t="shared" si="511"/>
        <v>0.27675</v>
      </c>
      <c r="X55" s="3"/>
      <c r="Y55" s="29">
        <v>1.5</v>
      </c>
      <c r="Z55" s="26">
        <f t="shared" si="512"/>
        <v>16605</v>
      </c>
      <c r="AA55" s="26">
        <f t="shared" si="513"/>
        <v>13284</v>
      </c>
      <c r="AB55" s="26">
        <f t="shared" si="514"/>
        <v>20520</v>
      </c>
      <c r="AC55" s="21">
        <f>(AC45*4)+(AC43*2)</f>
        <v>16416</v>
      </c>
      <c r="AD55" s="26">
        <f t="shared" si="441"/>
        <v>12312</v>
      </c>
      <c r="AE55" s="26">
        <f t="shared" si="515"/>
        <v>202.5</v>
      </c>
      <c r="AF55" s="26">
        <f t="shared" si="516"/>
        <v>12109.5</v>
      </c>
      <c r="AG55" s="3"/>
      <c r="AH55" s="26">
        <f t="shared" si="14"/>
        <v>10260</v>
      </c>
      <c r="AI55" s="45">
        <f t="shared" ref="AI55:AJ55" si="580">(AI43*2)+(AI45*4)</f>
        <v>13327.2</v>
      </c>
      <c r="AJ55" s="45">
        <f t="shared" si="580"/>
        <v>8839.2000000000007</v>
      </c>
      <c r="AK55" s="26">
        <f t="shared" si="573"/>
        <v>32426.400000000001</v>
      </c>
      <c r="AL55" s="26">
        <f>AL43*2+AL45*4</f>
        <v>57374.8</v>
      </c>
      <c r="AM55" s="31">
        <f t="shared" si="518"/>
        <v>0.56516798315636829</v>
      </c>
      <c r="AN55" s="3"/>
      <c r="AO55" s="21">
        <f t="shared" ref="AO55:AP55" si="581">AO43*2+AO45*4</f>
        <v>760</v>
      </c>
      <c r="AP55" s="33">
        <f t="shared" si="581"/>
        <v>1134</v>
      </c>
      <c r="AQ55" s="26">
        <f t="shared" si="520"/>
        <v>1894</v>
      </c>
      <c r="AR55" s="3"/>
      <c r="AS55" s="21">
        <f>(AS45*4)+(AS43*2)</f>
        <v>28</v>
      </c>
      <c r="AT55" s="3"/>
      <c r="AU55" s="26">
        <v>47</v>
      </c>
      <c r="AV55" s="26">
        <v>152</v>
      </c>
      <c r="AW55" s="26">
        <v>190</v>
      </c>
      <c r="AX55" s="35">
        <f>AX43*2+AX45*4</f>
        <v>261.95744680851067</v>
      </c>
      <c r="AY55" s="35">
        <f t="shared" si="521"/>
        <v>81</v>
      </c>
      <c r="AZ55" s="35">
        <f t="shared" si="522"/>
        <v>39.166666666666664</v>
      </c>
      <c r="BA55" s="35">
        <f t="shared" si="523"/>
        <v>126.66666666666667</v>
      </c>
      <c r="BB55" s="3"/>
      <c r="BC55" s="36" t="s">
        <v>78</v>
      </c>
      <c r="BD55" s="26">
        <f t="shared" si="524"/>
        <v>10260</v>
      </c>
      <c r="BE55" s="21">
        <f t="shared" ref="BE55:BF55" si="582">(BE45*4)+(BE43*2)</f>
        <v>12256</v>
      </c>
      <c r="BF55" s="21" t="e" vm="2">
        <f t="shared" si="582"/>
        <v>#VALUE!</v>
      </c>
      <c r="BG55" s="26" t="e" vm="2">
        <f t="shared" si="526"/>
        <v>#VALUE!</v>
      </c>
      <c r="BH55" s="26">
        <f t="shared" si="527"/>
        <v>5130</v>
      </c>
      <c r="BI55" s="21" t="e" vm="2">
        <f t="shared" ref="BI55:BJ55" si="583">(BI45*4)+(BI43*2)</f>
        <v>#VALUE!</v>
      </c>
      <c r="BJ55" s="21">
        <f t="shared" si="583"/>
        <v>109</v>
      </c>
      <c r="BK55" s="106">
        <v>0.2</v>
      </c>
      <c r="BL55" s="21">
        <f t="shared" ref="BL55:BR55" si="584">(BL45*4)+(BL43*2)</f>
        <v>2462.4</v>
      </c>
      <c r="BM55" s="21">
        <f t="shared" si="584"/>
        <v>2097.8999999999996</v>
      </c>
      <c r="BN55" s="21">
        <f t="shared" si="584"/>
        <v>6944.13</v>
      </c>
      <c r="BO55" s="21">
        <f t="shared" si="584"/>
        <v>567</v>
      </c>
      <c r="BP55" s="21">
        <f t="shared" si="584"/>
        <v>7126</v>
      </c>
      <c r="BQ55" s="21">
        <f t="shared" si="584"/>
        <v>28</v>
      </c>
      <c r="BR55" s="21" t="e" vm="2">
        <f t="shared" si="584"/>
        <v>#VALUE!</v>
      </c>
      <c r="BS55" s="26"/>
      <c r="BT55" s="21">
        <f t="shared" ref="BT55:BW55" si="585">(BT45*4)+(BT43*2)</f>
        <v>3816.72</v>
      </c>
      <c r="BU55" s="21">
        <f t="shared" si="585"/>
        <v>72271.44</v>
      </c>
      <c r="BV55" s="21">
        <f t="shared" si="585"/>
        <v>4617</v>
      </c>
      <c r="BW55" s="21">
        <f t="shared" si="585"/>
        <v>2268</v>
      </c>
      <c r="BX55" s="26"/>
      <c r="BY55" s="26">
        <f t="shared" si="531"/>
        <v>0</v>
      </c>
      <c r="BZ55" s="3"/>
      <c r="CA55" s="40">
        <f t="shared" si="532"/>
        <v>154589.47200000001</v>
      </c>
      <c r="CB55" s="40">
        <v>15</v>
      </c>
      <c r="CC55" s="40">
        <f t="shared" si="533"/>
        <v>184695</v>
      </c>
      <c r="CD55" s="41">
        <f t="shared" si="534"/>
        <v>97.20171232876713</v>
      </c>
      <c r="CE55" s="42">
        <f t="shared" si="535"/>
        <v>0.19736161599239507</v>
      </c>
      <c r="CF55" s="40" t="e">
        <f t="shared" si="536"/>
        <v>#DIV/0!</v>
      </c>
      <c r="CG55" s="21">
        <f>(CG45*4)+(CG43*2)</f>
        <v>6394.5163581535999</v>
      </c>
      <c r="CH55" s="43">
        <v>30</v>
      </c>
      <c r="CI55" s="40">
        <f t="shared" si="537"/>
        <v>369375</v>
      </c>
      <c r="CJ55" s="41">
        <f t="shared" si="538"/>
        <v>194.40171232876713</v>
      </c>
      <c r="CK55" s="42">
        <f t="shared" si="539"/>
        <v>0.2247473869506173</v>
      </c>
      <c r="CL55" s="40" t="e">
        <f t="shared" si="540"/>
        <v>#DIV/0!</v>
      </c>
      <c r="CM55" s="21">
        <f>(CM45*4)+(CM43*2)</f>
        <v>7281.8153371999997</v>
      </c>
      <c r="CN55" s="43">
        <v>70</v>
      </c>
      <c r="CO55" s="40">
        <f t="shared" si="541"/>
        <v>861855</v>
      </c>
      <c r="CP55" s="41">
        <f t="shared" si="542"/>
        <v>453.60171232876712</v>
      </c>
      <c r="CQ55" s="42">
        <f t="shared" si="543"/>
        <v>0.2694957663009383</v>
      </c>
      <c r="CR55" s="40" t="e">
        <f t="shared" si="544"/>
        <v>#DIV/0!</v>
      </c>
      <c r="CS55" s="21">
        <f>(CS45*4)+(CS43*2)</f>
        <v>8731.6628281503999</v>
      </c>
      <c r="CT55" s="44">
        <v>3.05</v>
      </c>
      <c r="CU55" s="3"/>
      <c r="CV55" s="40">
        <f t="shared" si="545"/>
        <v>154589.47200000001</v>
      </c>
      <c r="CW55" s="40">
        <v>15</v>
      </c>
      <c r="CX55" s="40">
        <f t="shared" si="546"/>
        <v>184695</v>
      </c>
      <c r="CY55" s="41">
        <f t="shared" si="547"/>
        <v>97.20171232876713</v>
      </c>
      <c r="CZ55" s="42">
        <f t="shared" si="548"/>
        <v>2.9753646600037529</v>
      </c>
      <c r="DA55" s="40" t="e">
        <f t="shared" si="549"/>
        <v>#DIV/0!</v>
      </c>
      <c r="DB55" s="21">
        <f>(DB45*4)+(DB43*2)</f>
        <v>96401.814984121593</v>
      </c>
      <c r="DC55" s="43">
        <v>30</v>
      </c>
      <c r="DD55" s="40">
        <f t="shared" si="550"/>
        <v>369375</v>
      </c>
      <c r="DE55" s="41">
        <f t="shared" si="551"/>
        <v>194.40171232876713</v>
      </c>
      <c r="DF55" s="42">
        <f t="shared" si="552"/>
        <v>3.0159460470712101</v>
      </c>
      <c r="DG55" s="40" t="e">
        <f t="shared" si="553"/>
        <v>#DIV/0!</v>
      </c>
      <c r="DH55" s="21">
        <f>(DH45*4)+(DH43*2)</f>
        <v>97716.651925107202</v>
      </c>
      <c r="DI55" s="43">
        <v>70</v>
      </c>
      <c r="DJ55" s="40">
        <f t="shared" si="554"/>
        <v>861855</v>
      </c>
      <c r="DK55" s="41">
        <f t="shared" si="555"/>
        <v>453.60171232876712</v>
      </c>
      <c r="DL55" s="42">
        <f t="shared" si="556"/>
        <v>3.0958753901219751</v>
      </c>
      <c r="DM55" s="40" t="e">
        <f t="shared" si="557"/>
        <v>#DIV/0!</v>
      </c>
      <c r="DN55" s="21">
        <f>(DN45*4)+(DN43*2)</f>
        <v>100306.362639952</v>
      </c>
      <c r="DO55" s="44">
        <v>3.9</v>
      </c>
      <c r="DP55" s="7"/>
      <c r="DQ55" s="40">
        <f t="shared" si="558"/>
        <v>154589.47200000001</v>
      </c>
      <c r="DR55" s="40">
        <v>15</v>
      </c>
      <c r="DS55" s="40">
        <f t="shared" si="559"/>
        <v>184695</v>
      </c>
      <c r="DT55" s="41">
        <f t="shared" si="560"/>
        <v>97.20171232876713</v>
      </c>
      <c r="DU55" s="42">
        <f t="shared" si="561"/>
        <v>0.12652869143506665</v>
      </c>
      <c r="DV55" s="40">
        <f t="shared" si="562"/>
        <v>108.00190258751903</v>
      </c>
      <c r="DW55" s="21">
        <f>(DW45*4)+(DW43*2)</f>
        <v>7750.3544723807991</v>
      </c>
      <c r="DX55" s="43">
        <v>30</v>
      </c>
      <c r="DY55" s="40">
        <f t="shared" si="563"/>
        <v>369375</v>
      </c>
      <c r="DZ55" s="41">
        <f t="shared" si="564"/>
        <v>194.40171232876713</v>
      </c>
      <c r="EA55" s="42">
        <f t="shared" si="565"/>
        <v>0.13585265563468146</v>
      </c>
      <c r="EB55" s="40">
        <f t="shared" si="566"/>
        <v>216.00190258751903</v>
      </c>
      <c r="EC55" s="21">
        <f>(EC45*4)+(EC43*2)</f>
        <v>8321.4820705183993</v>
      </c>
      <c r="ED55" s="43">
        <v>70</v>
      </c>
      <c r="EE55" s="40">
        <f t="shared" si="567"/>
        <v>861855</v>
      </c>
      <c r="EF55" s="41">
        <f t="shared" si="568"/>
        <v>453.60171232876712</v>
      </c>
      <c r="EG55" s="42">
        <f t="shared" si="569"/>
        <v>0.14533915452385185</v>
      </c>
      <c r="EH55" s="40">
        <f t="shared" si="570"/>
        <v>504.001902587519</v>
      </c>
      <c r="EI55" s="21">
        <f>(EI45*4)+(EI43*2)</f>
        <v>8902.5655248639996</v>
      </c>
      <c r="EJ55" s="44">
        <v>3.9</v>
      </c>
    </row>
    <row r="56" spans="1:140">
      <c r="A56" s="48" t="str">
        <f t="shared" si="0"/>
        <v>RmGi</v>
      </c>
      <c r="B56" s="49">
        <v>310</v>
      </c>
      <c r="C56" s="48" t="s">
        <v>87</v>
      </c>
      <c r="D56" s="48" t="s">
        <v>81</v>
      </c>
      <c r="E56" s="48" t="s">
        <v>83</v>
      </c>
      <c r="F56" s="3"/>
      <c r="G56" s="50">
        <v>60000</v>
      </c>
      <c r="H56" s="50">
        <f t="shared" ref="H56:M56" si="586">H46*6</f>
        <v>43350</v>
      </c>
      <c r="I56" s="50">
        <f t="shared" si="586"/>
        <v>6984</v>
      </c>
      <c r="J56" s="50">
        <f t="shared" si="586"/>
        <v>5586</v>
      </c>
      <c r="K56" s="50">
        <f t="shared" si="586"/>
        <v>4080</v>
      </c>
      <c r="L56" s="50">
        <f t="shared" si="586"/>
        <v>13680</v>
      </c>
      <c r="M56" s="50">
        <f t="shared" si="586"/>
        <v>2160</v>
      </c>
      <c r="N56" s="107">
        <f t="shared" si="507"/>
        <v>0.26400000000000001</v>
      </c>
      <c r="O56" s="54"/>
      <c r="P56" s="178"/>
      <c r="Q56" s="50">
        <f>Q46*6</f>
        <v>6840</v>
      </c>
      <c r="R56" s="52">
        <f t="shared" si="508"/>
        <v>5472</v>
      </c>
      <c r="S56" s="52">
        <f t="shared" si="4"/>
        <v>20520</v>
      </c>
      <c r="T56" s="3"/>
      <c r="U56" s="58">
        <f t="shared" si="509"/>
        <v>15840</v>
      </c>
      <c r="V56" s="56">
        <f t="shared" si="510"/>
        <v>0.26400000000000001</v>
      </c>
      <c r="W56" s="110">
        <f t="shared" si="511"/>
        <v>0.49199999999999999</v>
      </c>
      <c r="X56" s="3"/>
      <c r="Y56" s="57">
        <v>2</v>
      </c>
      <c r="Z56" s="58">
        <f t="shared" si="512"/>
        <v>29520</v>
      </c>
      <c r="AA56" s="58">
        <f t="shared" si="513"/>
        <v>23616</v>
      </c>
      <c r="AB56" s="58">
        <f t="shared" si="514"/>
        <v>34200</v>
      </c>
      <c r="AC56" s="50">
        <f>AC46*6</f>
        <v>27360</v>
      </c>
      <c r="AD56" s="58">
        <f t="shared" si="441"/>
        <v>21888</v>
      </c>
      <c r="AE56" s="58">
        <f t="shared" si="515"/>
        <v>360</v>
      </c>
      <c r="AF56" s="58">
        <f t="shared" si="516"/>
        <v>21528</v>
      </c>
      <c r="AG56" s="3"/>
      <c r="AH56" s="58">
        <f t="shared" si="14"/>
        <v>13680</v>
      </c>
      <c r="AI56" s="50">
        <f t="shared" ref="AI56:AJ56" si="587">AI46*6</f>
        <v>14875.199999999999</v>
      </c>
      <c r="AJ56" s="58">
        <f t="shared" si="587"/>
        <v>19735.2</v>
      </c>
      <c r="AK56" s="58">
        <f t="shared" si="573"/>
        <v>48290.399999999994</v>
      </c>
      <c r="AL56" s="58">
        <f>AL46*6</f>
        <v>100357.19999999998</v>
      </c>
      <c r="AM56" s="59">
        <f t="shared" si="518"/>
        <v>0.48118520644258711</v>
      </c>
      <c r="AN56" s="3"/>
      <c r="AO56" s="50">
        <f t="shared" ref="AO56:AP56" si="588">AO46*6</f>
        <v>1200</v>
      </c>
      <c r="AP56" s="60">
        <f t="shared" si="588"/>
        <v>1512</v>
      </c>
      <c r="AQ56" s="55">
        <f t="shared" si="520"/>
        <v>2712</v>
      </c>
      <c r="AR56" s="3"/>
      <c r="AS56" s="50">
        <f>AS46*6</f>
        <v>36</v>
      </c>
      <c r="AT56" s="3"/>
      <c r="AU56" s="58">
        <v>47</v>
      </c>
      <c r="AV56" s="58">
        <v>152</v>
      </c>
      <c r="AW56" s="58">
        <v>190</v>
      </c>
      <c r="AX56" s="62">
        <f>AX46*6</f>
        <v>465.7021276595745</v>
      </c>
      <c r="AY56" s="62">
        <f t="shared" si="521"/>
        <v>144</v>
      </c>
      <c r="AZ56" s="62">
        <f t="shared" si="522"/>
        <v>29.374999999999996</v>
      </c>
      <c r="BA56" s="62">
        <f t="shared" si="523"/>
        <v>95</v>
      </c>
      <c r="BB56" s="3"/>
      <c r="BC56" s="63" t="s">
        <v>78</v>
      </c>
      <c r="BD56" s="58">
        <f t="shared" si="524"/>
        <v>13680</v>
      </c>
      <c r="BE56" s="50">
        <f t="shared" ref="BE56:BF56" si="589">BE46*6</f>
        <v>21780</v>
      </c>
      <c r="BF56" s="50" t="e" vm="2">
        <f t="shared" si="589"/>
        <v>#VALUE!</v>
      </c>
      <c r="BG56" s="58" t="e" vm="2">
        <f t="shared" si="526"/>
        <v>#VALUE!</v>
      </c>
      <c r="BH56" s="58">
        <f t="shared" si="527"/>
        <v>6840</v>
      </c>
      <c r="BI56" s="50" t="e" vm="2">
        <f t="shared" ref="BI56:BJ56" si="590">BI46*6</f>
        <v>#VALUE!</v>
      </c>
      <c r="BJ56" s="50">
        <f t="shared" si="590"/>
        <v>180</v>
      </c>
      <c r="BK56" s="64">
        <v>0.2</v>
      </c>
      <c r="BL56" s="50">
        <f t="shared" ref="BL56:BR56" si="591">BL46*6</f>
        <v>4377.6000000000004</v>
      </c>
      <c r="BM56" s="50">
        <f t="shared" si="591"/>
        <v>3729.5999999999995</v>
      </c>
      <c r="BN56" s="50">
        <f t="shared" si="591"/>
        <v>12345.119999999999</v>
      </c>
      <c r="BO56" s="50">
        <f t="shared" si="591"/>
        <v>1008</v>
      </c>
      <c r="BP56" s="50">
        <f t="shared" si="591"/>
        <v>14940</v>
      </c>
      <c r="BQ56" s="50">
        <f t="shared" si="591"/>
        <v>54</v>
      </c>
      <c r="BR56" s="50" t="e" vm="2">
        <f t="shared" si="591"/>
        <v>#VALUE!</v>
      </c>
      <c r="BS56" s="26"/>
      <c r="BT56" s="50">
        <f t="shared" ref="BT56:BW56" si="592">BT46*6</f>
        <v>6785.2799999999988</v>
      </c>
      <c r="BU56" s="50">
        <f t="shared" si="592"/>
        <v>128482.56000000001</v>
      </c>
      <c r="BV56" s="50">
        <f t="shared" si="592"/>
        <v>8208</v>
      </c>
      <c r="BW56" s="50">
        <f t="shared" si="592"/>
        <v>4032</v>
      </c>
      <c r="BX56" s="58"/>
      <c r="BY56" s="58">
        <f t="shared" si="531"/>
        <v>0</v>
      </c>
      <c r="BZ56" s="3"/>
      <c r="CA56" s="65">
        <f t="shared" si="532"/>
        <v>274825.728</v>
      </c>
      <c r="CB56" s="65">
        <v>15</v>
      </c>
      <c r="CC56" s="65">
        <f t="shared" si="533"/>
        <v>328335</v>
      </c>
      <c r="CD56" s="66">
        <f t="shared" si="534"/>
        <v>172.80171232876714</v>
      </c>
      <c r="CE56" s="67">
        <f t="shared" si="535"/>
        <v>0.19068073575250002</v>
      </c>
      <c r="CF56" s="65" t="e">
        <f t="shared" si="536"/>
        <v>#DIV/0!</v>
      </c>
      <c r="CG56" s="50">
        <f>CG46*6</f>
        <v>10983.210379344</v>
      </c>
      <c r="CH56" s="68">
        <v>30</v>
      </c>
      <c r="CI56" s="65">
        <f t="shared" si="537"/>
        <v>656655</v>
      </c>
      <c r="CJ56" s="66">
        <f t="shared" si="538"/>
        <v>345.60171232876712</v>
      </c>
      <c r="CK56" s="67">
        <f t="shared" si="539"/>
        <v>0.20596604698750001</v>
      </c>
      <c r="CL56" s="65" t="e">
        <f t="shared" si="540"/>
        <v>#DIV/0!</v>
      </c>
      <c r="CM56" s="50">
        <f>CM46*6</f>
        <v>11863.644306480001</v>
      </c>
      <c r="CN56" s="68">
        <v>70</v>
      </c>
      <c r="CO56" s="65">
        <f t="shared" si="541"/>
        <v>1532175</v>
      </c>
      <c r="CP56" s="66">
        <f t="shared" si="542"/>
        <v>806.40171232876708</v>
      </c>
      <c r="CQ56" s="67">
        <f t="shared" si="543"/>
        <v>0.24819496001750005</v>
      </c>
      <c r="CR56" s="65" t="e">
        <f t="shared" si="544"/>
        <v>#DIV/0!</v>
      </c>
      <c r="CS56" s="50">
        <f>CS46*6</f>
        <v>14296.029697008002</v>
      </c>
      <c r="CT56" s="69">
        <v>3.05</v>
      </c>
      <c r="CU56" s="3"/>
      <c r="CV56" s="65">
        <f t="shared" si="545"/>
        <v>274825.728</v>
      </c>
      <c r="CW56" s="65">
        <v>15</v>
      </c>
      <c r="CX56" s="65">
        <f t="shared" si="546"/>
        <v>328335</v>
      </c>
      <c r="CY56" s="66">
        <f t="shared" si="547"/>
        <v>172.80171232876714</v>
      </c>
      <c r="CZ56" s="67">
        <f t="shared" si="548"/>
        <v>1.9688199738624999</v>
      </c>
      <c r="DA56" s="65" t="e">
        <f t="shared" si="549"/>
        <v>#DIV/0!</v>
      </c>
      <c r="DB56" s="50">
        <f>DB46*6</f>
        <v>113404.03049448</v>
      </c>
      <c r="DC56" s="68">
        <v>30</v>
      </c>
      <c r="DD56" s="65">
        <f t="shared" si="550"/>
        <v>656655</v>
      </c>
      <c r="DE56" s="66">
        <f t="shared" si="551"/>
        <v>345.60171232876712</v>
      </c>
      <c r="DF56" s="67">
        <f t="shared" si="552"/>
        <v>1.9980856655025001</v>
      </c>
      <c r="DG56" s="65" t="e">
        <f t="shared" si="553"/>
        <v>#DIV/0!</v>
      </c>
      <c r="DH56" s="50">
        <f>DH46*6</f>
        <v>115089.734332944</v>
      </c>
      <c r="DI56" s="68">
        <v>70</v>
      </c>
      <c r="DJ56" s="65">
        <f t="shared" si="554"/>
        <v>1532175</v>
      </c>
      <c r="DK56" s="66">
        <f t="shared" si="555"/>
        <v>806.40171232876708</v>
      </c>
      <c r="DL56" s="67">
        <f t="shared" si="556"/>
        <v>2.0732955776250002</v>
      </c>
      <c r="DM56" s="65" t="e">
        <f t="shared" si="557"/>
        <v>#DIV/0!</v>
      </c>
      <c r="DN56" s="50">
        <f>DN46*6</f>
        <v>119421.8252712</v>
      </c>
      <c r="DO56" s="69">
        <v>3.9</v>
      </c>
      <c r="DP56" s="7"/>
      <c r="DQ56" s="65">
        <f t="shared" si="558"/>
        <v>274825.728</v>
      </c>
      <c r="DR56" s="65">
        <v>15</v>
      </c>
      <c r="DS56" s="65">
        <f t="shared" si="559"/>
        <v>328335</v>
      </c>
      <c r="DT56" s="66">
        <f t="shared" si="560"/>
        <v>172.80171232876714</v>
      </c>
      <c r="DU56" s="67">
        <f t="shared" si="561"/>
        <v>0.11627254710862502</v>
      </c>
      <c r="DV56" s="65">
        <f t="shared" si="562"/>
        <v>192.00190258751903</v>
      </c>
      <c r="DW56" s="50">
        <f>DW46*6</f>
        <v>12661.559756784001</v>
      </c>
      <c r="DX56" s="68">
        <v>30</v>
      </c>
      <c r="DY56" s="65">
        <f t="shared" si="563"/>
        <v>656655</v>
      </c>
      <c r="DZ56" s="66">
        <f t="shared" si="564"/>
        <v>345.60171232876712</v>
      </c>
      <c r="EA56" s="67">
        <f t="shared" si="565"/>
        <v>0.11984056604662499</v>
      </c>
      <c r="EB56" s="65">
        <f t="shared" si="566"/>
        <v>384.001902587519</v>
      </c>
      <c r="EC56" s="50">
        <f>EC46*6</f>
        <v>13050.101042928</v>
      </c>
      <c r="ED56" s="68">
        <v>70</v>
      </c>
      <c r="EE56" s="65">
        <f t="shared" si="567"/>
        <v>1532175</v>
      </c>
      <c r="EF56" s="66">
        <f t="shared" si="568"/>
        <v>806.40171232876708</v>
      </c>
      <c r="EG56" s="67">
        <f t="shared" si="569"/>
        <v>0.12925183206562504</v>
      </c>
      <c r="EH56" s="65">
        <f t="shared" si="570"/>
        <v>896.001902587519</v>
      </c>
      <c r="EI56" s="50">
        <f>EI46*6</f>
        <v>14074.945772400002</v>
      </c>
      <c r="EJ56" s="69">
        <v>3.9</v>
      </c>
    </row>
    <row r="57" spans="1:140">
      <c r="A57" s="48" t="str">
        <f t="shared" si="0"/>
        <v>RmSc</v>
      </c>
      <c r="B57" s="49">
        <v>311</v>
      </c>
      <c r="C57" s="48" t="s">
        <v>87</v>
      </c>
      <c r="D57" s="48" t="s">
        <v>81</v>
      </c>
      <c r="E57" s="48" t="s">
        <v>84</v>
      </c>
      <c r="F57" s="3"/>
      <c r="G57" s="50">
        <v>60000</v>
      </c>
      <c r="H57" s="50">
        <f t="shared" ref="H57:M57" si="593">(H47*4)+(H46*2)</f>
        <v>48450</v>
      </c>
      <c r="I57" s="50">
        <f t="shared" si="593"/>
        <v>4728</v>
      </c>
      <c r="J57" s="50">
        <f t="shared" si="593"/>
        <v>4102</v>
      </c>
      <c r="K57" s="50">
        <f t="shared" si="593"/>
        <v>2720</v>
      </c>
      <c r="L57" s="50">
        <f t="shared" si="593"/>
        <v>11780</v>
      </c>
      <c r="M57" s="50">
        <f t="shared" si="593"/>
        <v>1860</v>
      </c>
      <c r="N57" s="107">
        <f t="shared" si="507"/>
        <v>0.22733333333333333</v>
      </c>
      <c r="O57" s="177"/>
      <c r="P57" s="178"/>
      <c r="Q57" s="51">
        <f>Q50*4+Q49*2</f>
        <v>5890</v>
      </c>
      <c r="R57" s="52">
        <f t="shared" si="508"/>
        <v>4712</v>
      </c>
      <c r="S57" s="52">
        <f t="shared" si="4"/>
        <v>17670</v>
      </c>
      <c r="T57" s="3"/>
      <c r="U57" s="58">
        <f t="shared" si="509"/>
        <v>13640</v>
      </c>
      <c r="V57" s="56">
        <f t="shared" si="510"/>
        <v>0.22733333333333333</v>
      </c>
      <c r="W57" s="110">
        <f t="shared" si="511"/>
        <v>0.42366666666666669</v>
      </c>
      <c r="X57" s="3"/>
      <c r="Y57" s="57">
        <v>2</v>
      </c>
      <c r="Z57" s="58">
        <f t="shared" si="512"/>
        <v>25420</v>
      </c>
      <c r="AA57" s="58">
        <f t="shared" si="513"/>
        <v>20336</v>
      </c>
      <c r="AB57" s="58">
        <f t="shared" si="514"/>
        <v>29450</v>
      </c>
      <c r="AC57" s="50">
        <f>(AC47*4)+(AC46*2)</f>
        <v>23560</v>
      </c>
      <c r="AD57" s="58">
        <f t="shared" si="441"/>
        <v>18848</v>
      </c>
      <c r="AE57" s="58">
        <f t="shared" si="515"/>
        <v>310</v>
      </c>
      <c r="AF57" s="58">
        <f t="shared" si="516"/>
        <v>18538</v>
      </c>
      <c r="AG57" s="3"/>
      <c r="AH57" s="58">
        <f t="shared" si="14"/>
        <v>11780</v>
      </c>
      <c r="AI57" s="51">
        <f t="shared" ref="AI57:AJ57" si="594">AI46*2+AI47*4</f>
        <v>12809.199999999999</v>
      </c>
      <c r="AJ57" s="58">
        <f t="shared" si="594"/>
        <v>16444</v>
      </c>
      <c r="AK57" s="58">
        <f t="shared" si="573"/>
        <v>41033.199999999997</v>
      </c>
      <c r="AL57" s="58">
        <f>AL47*4+AL46*2</f>
        <v>86418.4</v>
      </c>
      <c r="AM57" s="59">
        <f t="shared" si="518"/>
        <v>0.47482017718448849</v>
      </c>
      <c r="AN57" s="3"/>
      <c r="AO57" s="50">
        <f t="shared" ref="AO57:AP57" si="595">AO46*2+AO47*4</f>
        <v>800</v>
      </c>
      <c r="AP57" s="60">
        <f t="shared" si="595"/>
        <v>1302</v>
      </c>
      <c r="AQ57" s="55">
        <f t="shared" si="520"/>
        <v>2102</v>
      </c>
      <c r="AR57" s="3"/>
      <c r="AS57" s="50">
        <f>(AS47*4)+(AS46*2)</f>
        <v>28</v>
      </c>
      <c r="AT57" s="3"/>
      <c r="AU57" s="58">
        <v>47</v>
      </c>
      <c r="AV57" s="58">
        <v>152</v>
      </c>
      <c r="AW57" s="58">
        <v>190</v>
      </c>
      <c r="AX57" s="62">
        <f>AX46*2+AX47*4</f>
        <v>401.02127659574467</v>
      </c>
      <c r="AY57" s="62">
        <f t="shared" si="521"/>
        <v>124</v>
      </c>
      <c r="AZ57" s="62">
        <f t="shared" si="522"/>
        <v>29.375</v>
      </c>
      <c r="BA57" s="62">
        <f t="shared" si="523"/>
        <v>95</v>
      </c>
      <c r="BB57" s="3"/>
      <c r="BC57" s="63" t="s">
        <v>78</v>
      </c>
      <c r="BD57" s="58">
        <f t="shared" si="524"/>
        <v>11780</v>
      </c>
      <c r="BE57" s="50">
        <f t="shared" ref="BE57:BF57" si="596">(BE47*4)+(BE46*2)</f>
        <v>18764</v>
      </c>
      <c r="BF57" s="50" t="e" vm="2">
        <f t="shared" si="596"/>
        <v>#VALUE!</v>
      </c>
      <c r="BG57" s="58" t="e" vm="2">
        <f t="shared" si="526"/>
        <v>#VALUE!</v>
      </c>
      <c r="BH57" s="58">
        <f t="shared" si="527"/>
        <v>5890</v>
      </c>
      <c r="BI57" s="50" t="e" vm="2">
        <f t="shared" ref="BI57:BJ57" si="597">(BI47*4)+(BI46*2)</f>
        <v>#VALUE!</v>
      </c>
      <c r="BJ57" s="50">
        <f t="shared" si="597"/>
        <v>152</v>
      </c>
      <c r="BK57" s="64">
        <v>0.2</v>
      </c>
      <c r="BL57" s="50">
        <f t="shared" ref="BL57:BR57" si="598">(BL47*4)+(BL46*2)</f>
        <v>3769.6000000000004</v>
      </c>
      <c r="BM57" s="50">
        <f t="shared" si="598"/>
        <v>3211.5999999999995</v>
      </c>
      <c r="BN57" s="50">
        <f t="shared" si="598"/>
        <v>10630.52</v>
      </c>
      <c r="BO57" s="50">
        <f t="shared" si="598"/>
        <v>868</v>
      </c>
      <c r="BP57" s="50">
        <f t="shared" si="598"/>
        <v>12874</v>
      </c>
      <c r="BQ57" s="50">
        <f t="shared" si="598"/>
        <v>42</v>
      </c>
      <c r="BR57" s="50" t="e" vm="2">
        <f t="shared" si="598"/>
        <v>#VALUE!</v>
      </c>
      <c r="BS57" s="26"/>
      <c r="BT57" s="50">
        <f t="shared" ref="BT57:BW57" si="599">(BT47*4)+(BT46*2)</f>
        <v>5842.8799999999992</v>
      </c>
      <c r="BU57" s="50">
        <f t="shared" si="599"/>
        <v>110637.76000000001</v>
      </c>
      <c r="BV57" s="50">
        <f t="shared" si="599"/>
        <v>7068</v>
      </c>
      <c r="BW57" s="50">
        <f t="shared" si="599"/>
        <v>3472</v>
      </c>
      <c r="BX57" s="58"/>
      <c r="BY57" s="58">
        <f t="shared" si="531"/>
        <v>0</v>
      </c>
      <c r="BZ57" s="3"/>
      <c r="CA57" s="65">
        <f t="shared" si="532"/>
        <v>236655.48800000001</v>
      </c>
      <c r="CB57" s="65">
        <v>15</v>
      </c>
      <c r="CC57" s="65">
        <f t="shared" si="533"/>
        <v>282735</v>
      </c>
      <c r="CD57" s="66">
        <f t="shared" si="534"/>
        <v>148.80171232876714</v>
      </c>
      <c r="CE57" s="67">
        <f t="shared" si="535"/>
        <v>0.18604327705814519</v>
      </c>
      <c r="CF57" s="65" t="e">
        <f t="shared" si="536"/>
        <v>#DIV/0!</v>
      </c>
      <c r="CG57" s="50">
        <f>(CG47*4)+(CG46*2)</f>
        <v>9227.7465420840017</v>
      </c>
      <c r="CH57" s="68">
        <v>30</v>
      </c>
      <c r="CI57" s="65">
        <f t="shared" si="537"/>
        <v>565455</v>
      </c>
      <c r="CJ57" s="66">
        <f t="shared" si="538"/>
        <v>297.60171232876712</v>
      </c>
      <c r="CK57" s="67">
        <f t="shared" si="539"/>
        <v>0.20173103508161286</v>
      </c>
      <c r="CL57" s="65" t="e">
        <f t="shared" si="540"/>
        <v>#DIV/0!</v>
      </c>
      <c r="CM57" s="50">
        <f>(CM47*4)+(CM46*2)</f>
        <v>10005.859340047999</v>
      </c>
      <c r="CN57" s="68">
        <v>70</v>
      </c>
      <c r="CO57" s="65">
        <f t="shared" si="541"/>
        <v>1319375</v>
      </c>
      <c r="CP57" s="66">
        <f t="shared" si="542"/>
        <v>694.40171232876708</v>
      </c>
      <c r="CQ57" s="67">
        <f t="shared" si="543"/>
        <v>0.26460510726975811</v>
      </c>
      <c r="CR57" s="65" t="e">
        <f t="shared" si="544"/>
        <v>#DIV/0!</v>
      </c>
      <c r="CS57" s="50">
        <f>(CS47*4)+(CS46*2)</f>
        <v>13124.413320579999</v>
      </c>
      <c r="CT57" s="69">
        <v>3.05</v>
      </c>
      <c r="CU57" s="3"/>
      <c r="CV57" s="65">
        <f t="shared" si="545"/>
        <v>236655.48800000001</v>
      </c>
      <c r="CW57" s="65">
        <v>15</v>
      </c>
      <c r="CX57" s="65">
        <f t="shared" si="546"/>
        <v>282735</v>
      </c>
      <c r="CY57" s="66">
        <f t="shared" si="547"/>
        <v>148.80171232876714</v>
      </c>
      <c r="CZ57" s="67">
        <f t="shared" si="548"/>
        <v>1.9511544073914515</v>
      </c>
      <c r="DA57" s="65" t="e">
        <f t="shared" si="549"/>
        <v>#DIV/0!</v>
      </c>
      <c r="DB57" s="50">
        <f>(DB47*4)+(DB46*2)</f>
        <v>96777.258606616</v>
      </c>
      <c r="DC57" s="68">
        <v>30</v>
      </c>
      <c r="DD57" s="65">
        <f t="shared" si="550"/>
        <v>565455</v>
      </c>
      <c r="DE57" s="66">
        <f t="shared" si="551"/>
        <v>297.60171232876712</v>
      </c>
      <c r="DF57" s="67">
        <f t="shared" si="552"/>
        <v>1.9798342358287906</v>
      </c>
      <c r="DG57" s="65" t="e">
        <f t="shared" si="553"/>
        <v>#DIV/0!</v>
      </c>
      <c r="DH57" s="50">
        <f>(DH47*4)+(DH46*2)</f>
        <v>98199.778097108006</v>
      </c>
      <c r="DI57" s="68">
        <v>70</v>
      </c>
      <c r="DJ57" s="65">
        <f t="shared" si="554"/>
        <v>1319375</v>
      </c>
      <c r="DK57" s="66">
        <f t="shared" si="555"/>
        <v>694.40171232876708</v>
      </c>
      <c r="DL57" s="67">
        <f t="shared" si="556"/>
        <v>2.0755394366202413</v>
      </c>
      <c r="DM57" s="65" t="e">
        <f t="shared" si="557"/>
        <v>#DIV/0!</v>
      </c>
      <c r="DN57" s="50">
        <f>(DN47*4)+(DN46*2)</f>
        <v>102946.75605636399</v>
      </c>
      <c r="DO57" s="69">
        <v>3.9</v>
      </c>
      <c r="DP57" s="7"/>
      <c r="DQ57" s="65">
        <f t="shared" si="558"/>
        <v>236655.48800000001</v>
      </c>
      <c r="DR57" s="65">
        <v>15</v>
      </c>
      <c r="DS57" s="65">
        <f t="shared" si="559"/>
        <v>282735</v>
      </c>
      <c r="DT57" s="66">
        <f t="shared" si="560"/>
        <v>148.80171232876714</v>
      </c>
      <c r="DU57" s="67">
        <f t="shared" si="561"/>
        <v>0.11186382422765324</v>
      </c>
      <c r="DV57" s="65">
        <f t="shared" si="562"/>
        <v>165.33523592085237</v>
      </c>
      <c r="DW57" s="50">
        <f>(DW47*4)+(DW46*2)</f>
        <v>10489.598801208002</v>
      </c>
      <c r="DX57" s="68">
        <v>30</v>
      </c>
      <c r="DY57" s="65">
        <f t="shared" si="563"/>
        <v>565455</v>
      </c>
      <c r="DZ57" s="66">
        <f t="shared" si="564"/>
        <v>297.60171232876712</v>
      </c>
      <c r="EA57" s="67">
        <f t="shared" si="565"/>
        <v>0.11576029102492741</v>
      </c>
      <c r="EB57" s="65">
        <f t="shared" si="566"/>
        <v>330.66856925418568</v>
      </c>
      <c r="EC57" s="50">
        <f>(EC47*4)+(EC46*2)</f>
        <v>10854.974951431999</v>
      </c>
      <c r="ED57" s="68">
        <v>70</v>
      </c>
      <c r="EE57" s="65">
        <f t="shared" si="567"/>
        <v>1319375</v>
      </c>
      <c r="EF57" s="66">
        <f t="shared" si="568"/>
        <v>694.40171232876708</v>
      </c>
      <c r="EG57" s="67">
        <f t="shared" si="569"/>
        <v>0.16386989612634675</v>
      </c>
      <c r="EH57" s="65">
        <f t="shared" si="570"/>
        <v>771.55745814307454</v>
      </c>
      <c r="EI57" s="50">
        <f>(EI47*4)+(EI46*2)</f>
        <v>15366.267672583999</v>
      </c>
      <c r="EJ57" s="69">
        <v>3.9</v>
      </c>
    </row>
    <row r="58" spans="1:140">
      <c r="A58" s="48" t="str">
        <f t="shared" si="0"/>
        <v>RmSa</v>
      </c>
      <c r="B58" s="49">
        <v>312</v>
      </c>
      <c r="C58" s="48" t="s">
        <v>87</v>
      </c>
      <c r="D58" s="48" t="s">
        <v>81</v>
      </c>
      <c r="E58" s="48" t="s">
        <v>85</v>
      </c>
      <c r="F58" s="3"/>
      <c r="G58" s="50">
        <v>60000</v>
      </c>
      <c r="H58" s="50">
        <f t="shared" ref="H58:M58" si="600">(H48*4)+(H46*2)</f>
        <v>48422</v>
      </c>
      <c r="I58" s="50">
        <f t="shared" si="600"/>
        <v>5384</v>
      </c>
      <c r="J58" s="50">
        <f t="shared" si="600"/>
        <v>3554</v>
      </c>
      <c r="K58" s="50">
        <f t="shared" si="600"/>
        <v>2640</v>
      </c>
      <c r="L58" s="50">
        <f t="shared" si="600"/>
        <v>10640</v>
      </c>
      <c r="M58" s="50">
        <f t="shared" si="600"/>
        <v>1680</v>
      </c>
      <c r="N58" s="107">
        <f t="shared" si="507"/>
        <v>0.20533333333333334</v>
      </c>
      <c r="O58" s="179"/>
      <c r="P58" s="180"/>
      <c r="Q58" s="50">
        <f>Q49*2+Q51*4</f>
        <v>5320</v>
      </c>
      <c r="R58" s="52">
        <f t="shared" si="508"/>
        <v>4256</v>
      </c>
      <c r="S58" s="52">
        <f t="shared" si="4"/>
        <v>15960</v>
      </c>
      <c r="T58" s="3"/>
      <c r="U58" s="58">
        <f t="shared" si="509"/>
        <v>12320</v>
      </c>
      <c r="V58" s="56">
        <f t="shared" si="510"/>
        <v>0.20533333333333334</v>
      </c>
      <c r="W58" s="110">
        <f t="shared" si="511"/>
        <v>0.38266666666666665</v>
      </c>
      <c r="X58" s="3"/>
      <c r="Y58" s="57">
        <v>2</v>
      </c>
      <c r="Z58" s="58">
        <f t="shared" si="512"/>
        <v>22960</v>
      </c>
      <c r="AA58" s="58">
        <f t="shared" si="513"/>
        <v>18368</v>
      </c>
      <c r="AB58" s="58">
        <f t="shared" si="514"/>
        <v>26600</v>
      </c>
      <c r="AC58" s="50">
        <f>(AC48*4)+(AC46*2)</f>
        <v>21280</v>
      </c>
      <c r="AD58" s="58">
        <f t="shared" si="441"/>
        <v>17024</v>
      </c>
      <c r="AE58" s="58">
        <f t="shared" si="515"/>
        <v>280</v>
      </c>
      <c r="AF58" s="58">
        <f t="shared" si="516"/>
        <v>16744</v>
      </c>
      <c r="AG58" s="3"/>
      <c r="AH58" s="58">
        <f t="shared" si="14"/>
        <v>10640</v>
      </c>
      <c r="AI58" s="50">
        <f t="shared" ref="AI58:AJ58" si="601">AI46*2+AI48*4</f>
        <v>11569.599999999999</v>
      </c>
      <c r="AJ58" s="58">
        <f t="shared" si="601"/>
        <v>15349.600000000002</v>
      </c>
      <c r="AK58" s="58">
        <f t="shared" si="573"/>
        <v>37559.199999999997</v>
      </c>
      <c r="AL58" s="58">
        <f>AL46*2+AL48*4</f>
        <v>78055.599999999991</v>
      </c>
      <c r="AM58" s="59">
        <f t="shared" si="518"/>
        <v>0.48118520644258711</v>
      </c>
      <c r="AN58" s="3"/>
      <c r="AO58" s="50">
        <f t="shared" ref="AO58:AP58" si="602">AO46*2+AO48*4</f>
        <v>760</v>
      </c>
      <c r="AP58" s="60">
        <f t="shared" si="602"/>
        <v>1176</v>
      </c>
      <c r="AQ58" s="55">
        <f t="shared" si="520"/>
        <v>1936</v>
      </c>
      <c r="AR58" s="3"/>
      <c r="AS58" s="50">
        <f>(AS48*4)+(AS46*2)</f>
        <v>28</v>
      </c>
      <c r="AT58" s="3"/>
      <c r="AU58" s="58">
        <v>47</v>
      </c>
      <c r="AV58" s="58">
        <v>152</v>
      </c>
      <c r="AW58" s="58">
        <v>190</v>
      </c>
      <c r="AX58" s="62">
        <f>AX46*2+AX48*4</f>
        <v>362.21276595744678</v>
      </c>
      <c r="AY58" s="62">
        <f t="shared" si="521"/>
        <v>112</v>
      </c>
      <c r="AZ58" s="62">
        <f t="shared" si="522"/>
        <v>29.375000000000004</v>
      </c>
      <c r="BA58" s="62">
        <f t="shared" si="523"/>
        <v>95</v>
      </c>
      <c r="BB58" s="3"/>
      <c r="BC58" s="63" t="s">
        <v>78</v>
      </c>
      <c r="BD58" s="58">
        <f t="shared" si="524"/>
        <v>10640</v>
      </c>
      <c r="BE58" s="50">
        <f t="shared" ref="BE58:BF58" si="603">(BE48*4)+(BE46*2)</f>
        <v>16940</v>
      </c>
      <c r="BF58" s="50" t="e" vm="2">
        <f t="shared" si="603"/>
        <v>#VALUE!</v>
      </c>
      <c r="BG58" s="58" t="e" vm="2">
        <f t="shared" si="526"/>
        <v>#VALUE!</v>
      </c>
      <c r="BH58" s="58">
        <f t="shared" si="527"/>
        <v>5320</v>
      </c>
      <c r="BI58" s="50" t="e" vm="2">
        <f t="shared" ref="BI58:BJ58" si="604">(BI48*4)+(BI46*2)</f>
        <v>#VALUE!</v>
      </c>
      <c r="BJ58" s="50">
        <f t="shared" si="604"/>
        <v>140</v>
      </c>
      <c r="BK58" s="64">
        <v>0.2</v>
      </c>
      <c r="BL58" s="50">
        <f t="shared" ref="BL58:BR58" si="605">(BL48*4)+(BL46*2)</f>
        <v>3404.8</v>
      </c>
      <c r="BM58" s="50">
        <f t="shared" si="605"/>
        <v>2900.7999999999997</v>
      </c>
      <c r="BN58" s="50">
        <f t="shared" si="605"/>
        <v>9601.76</v>
      </c>
      <c r="BO58" s="50">
        <f t="shared" si="605"/>
        <v>784</v>
      </c>
      <c r="BP58" s="50">
        <f t="shared" si="605"/>
        <v>11620</v>
      </c>
      <c r="BQ58" s="50">
        <f t="shared" si="605"/>
        <v>42</v>
      </c>
      <c r="BR58" s="50" t="e" vm="2">
        <f t="shared" si="605"/>
        <v>#VALUE!</v>
      </c>
      <c r="BS58" s="26"/>
      <c r="BT58" s="50">
        <f t="shared" ref="BT58:BW58" si="606">(BT48*4)+(BT46*2)</f>
        <v>5277.44</v>
      </c>
      <c r="BU58" s="50">
        <f t="shared" si="606"/>
        <v>99930.880000000005</v>
      </c>
      <c r="BV58" s="50">
        <f t="shared" si="606"/>
        <v>6384</v>
      </c>
      <c r="BW58" s="50">
        <f t="shared" si="606"/>
        <v>3136</v>
      </c>
      <c r="BX58" s="58"/>
      <c r="BY58" s="58">
        <f t="shared" si="531"/>
        <v>0</v>
      </c>
      <c r="BZ58" s="3"/>
      <c r="CA58" s="65">
        <f t="shared" si="532"/>
        <v>213753.34400000001</v>
      </c>
      <c r="CB58" s="65">
        <v>15</v>
      </c>
      <c r="CC58" s="65">
        <f t="shared" si="533"/>
        <v>255375</v>
      </c>
      <c r="CD58" s="66">
        <f t="shared" si="534"/>
        <v>134.40171232876713</v>
      </c>
      <c r="CE58" s="67">
        <f t="shared" si="535"/>
        <v>0.19067232792678571</v>
      </c>
      <c r="CF58" s="65" t="e">
        <f t="shared" si="536"/>
        <v>#DIV/0!</v>
      </c>
      <c r="CG58" s="50">
        <f>(CG48*4)+(CG46*2)</f>
        <v>8542.1202911199998</v>
      </c>
      <c r="CH58" s="68">
        <v>30</v>
      </c>
      <c r="CI58" s="65">
        <f t="shared" si="537"/>
        <v>510735</v>
      </c>
      <c r="CJ58" s="66">
        <f t="shared" si="538"/>
        <v>268.80171232876711</v>
      </c>
      <c r="CK58" s="67">
        <f t="shared" si="539"/>
        <v>0.20595763913464288</v>
      </c>
      <c r="CL58" s="65" t="e">
        <f t="shared" si="540"/>
        <v>#DIV/0!</v>
      </c>
      <c r="CM58" s="50">
        <f>(CM48*4)+(CM46*2)</f>
        <v>9226.9022332320001</v>
      </c>
      <c r="CN58" s="68">
        <v>70</v>
      </c>
      <c r="CO58" s="65">
        <f t="shared" si="541"/>
        <v>1191695</v>
      </c>
      <c r="CP58" s="66">
        <f t="shared" si="542"/>
        <v>627.20171232876714</v>
      </c>
      <c r="CQ58" s="67">
        <f t="shared" si="543"/>
        <v>0.24818655216464286</v>
      </c>
      <c r="CR58" s="65" t="e">
        <f t="shared" si="544"/>
        <v>#DIV/0!</v>
      </c>
      <c r="CS58" s="50">
        <f>(CS48*4)+(CS46*2)</f>
        <v>11118.757536976</v>
      </c>
      <c r="CT58" s="69">
        <v>3.05</v>
      </c>
      <c r="CU58" s="3"/>
      <c r="CV58" s="65">
        <f t="shared" si="545"/>
        <v>213753.34400000001</v>
      </c>
      <c r="CW58" s="65">
        <v>15</v>
      </c>
      <c r="CX58" s="65">
        <f t="shared" si="546"/>
        <v>255375</v>
      </c>
      <c r="CY58" s="66">
        <f t="shared" si="547"/>
        <v>134.40171232876713</v>
      </c>
      <c r="CZ58" s="67">
        <f t="shared" si="548"/>
        <v>1.9580821174296428</v>
      </c>
      <c r="DA58" s="65" t="e">
        <f t="shared" si="549"/>
        <v>#DIV/0!</v>
      </c>
      <c r="DB58" s="50">
        <f>(DB48*4)+(DB46*2)</f>
        <v>87722.078860848007</v>
      </c>
      <c r="DC58" s="68">
        <v>30</v>
      </c>
      <c r="DD58" s="65">
        <f t="shared" si="550"/>
        <v>510735</v>
      </c>
      <c r="DE58" s="66">
        <f t="shared" si="551"/>
        <v>268.80171232876711</v>
      </c>
      <c r="DF58" s="67">
        <f t="shared" si="552"/>
        <v>1.9864263771982145</v>
      </c>
      <c r="DG58" s="65" t="e">
        <f t="shared" si="553"/>
        <v>#DIV/0!</v>
      </c>
      <c r="DH58" s="50">
        <f>(DH48*4)+(DH46*2)</f>
        <v>88991.901698480011</v>
      </c>
      <c r="DI58" s="68">
        <v>70</v>
      </c>
      <c r="DJ58" s="65">
        <f t="shared" si="554"/>
        <v>1191695</v>
      </c>
      <c r="DK58" s="66">
        <f t="shared" si="555"/>
        <v>627.20171232876714</v>
      </c>
      <c r="DL58" s="67">
        <f t="shared" si="556"/>
        <v>2.0616362893207141</v>
      </c>
      <c r="DM58" s="65" t="e">
        <f t="shared" si="557"/>
        <v>#DIV/0!</v>
      </c>
      <c r="DN58" s="50">
        <f>(DN48*4)+(DN46*2)</f>
        <v>92361.305761568001</v>
      </c>
      <c r="DO58" s="69">
        <v>3.9</v>
      </c>
      <c r="DP58" s="7"/>
      <c r="DQ58" s="65">
        <f t="shared" si="558"/>
        <v>213753.34400000001</v>
      </c>
      <c r="DR58" s="65">
        <v>15</v>
      </c>
      <c r="DS58" s="65">
        <f t="shared" si="559"/>
        <v>255375</v>
      </c>
      <c r="DT58" s="66">
        <f t="shared" si="560"/>
        <v>134.40171232876713</v>
      </c>
      <c r="DU58" s="67">
        <f t="shared" si="561"/>
        <v>0.115935321971625</v>
      </c>
      <c r="DV58" s="65">
        <f t="shared" si="562"/>
        <v>149.33523592085237</v>
      </c>
      <c r="DW58" s="50">
        <f>(DW48*4)+(DW46*2)</f>
        <v>9819.3180161439996</v>
      </c>
      <c r="DX58" s="68">
        <v>30</v>
      </c>
      <c r="DY58" s="65">
        <f t="shared" si="563"/>
        <v>510735</v>
      </c>
      <c r="DZ58" s="66">
        <f t="shared" si="564"/>
        <v>268.80171232876711</v>
      </c>
      <c r="EA58" s="67">
        <f t="shared" si="565"/>
        <v>0.119503340909625</v>
      </c>
      <c r="EB58" s="65">
        <f t="shared" si="566"/>
        <v>298.66856925418568</v>
      </c>
      <c r="EC58" s="50">
        <f>(EC48*4)+(EC46*2)</f>
        <v>10121.516794256</v>
      </c>
      <c r="ED58" s="68">
        <v>70</v>
      </c>
      <c r="EE58" s="65">
        <f t="shared" si="567"/>
        <v>1191695</v>
      </c>
      <c r="EF58" s="66">
        <f t="shared" si="568"/>
        <v>627.20171232876714</v>
      </c>
      <c r="EG58" s="67">
        <f t="shared" si="569"/>
        <v>0.13509160378483928</v>
      </c>
      <c r="EH58" s="65">
        <f t="shared" si="570"/>
        <v>696.89079147640791</v>
      </c>
      <c r="EI58" s="50">
        <f>(EI48*4)+(EI46*2)</f>
        <v>11441.788372303999</v>
      </c>
      <c r="EJ58" s="69">
        <v>3.9</v>
      </c>
    </row>
    <row r="59" spans="1:140">
      <c r="A59" s="70" t="str">
        <f t="shared" si="0"/>
        <v>RhGi</v>
      </c>
      <c r="B59" s="71">
        <v>320</v>
      </c>
      <c r="C59" s="70" t="s">
        <v>87</v>
      </c>
      <c r="D59" s="70" t="s">
        <v>82</v>
      </c>
      <c r="E59" s="70" t="s">
        <v>83</v>
      </c>
      <c r="F59" s="3"/>
      <c r="G59" s="72">
        <v>60000</v>
      </c>
      <c r="H59" s="72">
        <f t="shared" ref="H59:M59" si="607">H49*6</f>
        <v>43350</v>
      </c>
      <c r="I59" s="72">
        <f t="shared" si="607"/>
        <v>6984</v>
      </c>
      <c r="J59" s="72">
        <f t="shared" si="607"/>
        <v>5586</v>
      </c>
      <c r="K59" s="72">
        <f t="shared" si="607"/>
        <v>4080</v>
      </c>
      <c r="L59" s="72">
        <f t="shared" si="607"/>
        <v>13680</v>
      </c>
      <c r="M59" s="72">
        <f t="shared" si="607"/>
        <v>2700</v>
      </c>
      <c r="N59" s="91">
        <f t="shared" si="507"/>
        <v>0.27300000000000002</v>
      </c>
      <c r="O59" s="76"/>
      <c r="P59" s="181"/>
      <c r="Q59" s="72">
        <f>Q49*6</f>
        <v>6840</v>
      </c>
      <c r="R59" s="72">
        <f t="shared" si="508"/>
        <v>5472</v>
      </c>
      <c r="S59" s="72">
        <f t="shared" si="4"/>
        <v>20520</v>
      </c>
      <c r="T59" s="3"/>
      <c r="U59" s="77">
        <f t="shared" si="509"/>
        <v>16380</v>
      </c>
      <c r="V59" s="78">
        <f t="shared" si="510"/>
        <v>0.27300000000000002</v>
      </c>
      <c r="W59" s="111">
        <f t="shared" si="511"/>
        <v>0.61499999999999999</v>
      </c>
      <c r="X59" s="3"/>
      <c r="Y59" s="79">
        <v>2.5</v>
      </c>
      <c r="Z59" s="77">
        <f t="shared" si="512"/>
        <v>36900</v>
      </c>
      <c r="AA59" s="77">
        <f t="shared" si="513"/>
        <v>29520</v>
      </c>
      <c r="AB59" s="77">
        <f t="shared" si="514"/>
        <v>41040</v>
      </c>
      <c r="AC59" s="72">
        <f>AC49*6</f>
        <v>32832</v>
      </c>
      <c r="AD59" s="77">
        <f t="shared" si="441"/>
        <v>27360</v>
      </c>
      <c r="AE59" s="77">
        <f t="shared" si="515"/>
        <v>450</v>
      </c>
      <c r="AF59" s="77">
        <f t="shared" si="516"/>
        <v>26910</v>
      </c>
      <c r="AG59" s="3"/>
      <c r="AH59" s="77">
        <f t="shared" si="14"/>
        <v>13680</v>
      </c>
      <c r="AI59" s="72">
        <f t="shared" ref="AI59:AL59" si="608">AI49*6</f>
        <v>17769.600000000002</v>
      </c>
      <c r="AJ59" s="77">
        <f t="shared" si="608"/>
        <v>20865.600000000002</v>
      </c>
      <c r="AK59" s="77">
        <f t="shared" si="608"/>
        <v>52315.200000000004</v>
      </c>
      <c r="AL59" s="77">
        <f t="shared" si="608"/>
        <v>117540</v>
      </c>
      <c r="AM59" s="80">
        <f t="shared" si="518"/>
        <v>0.44508422664624814</v>
      </c>
      <c r="AN59" s="3"/>
      <c r="AO59" s="72">
        <f t="shared" ref="AO59:AP59" si="609">AO49*6</f>
        <v>1200</v>
      </c>
      <c r="AP59" s="81">
        <f t="shared" si="609"/>
        <v>1512</v>
      </c>
      <c r="AQ59" s="82">
        <f t="shared" si="520"/>
        <v>2712</v>
      </c>
      <c r="AR59" s="3"/>
      <c r="AS59" s="72">
        <f>AS49*6</f>
        <v>36</v>
      </c>
      <c r="AT59" s="3"/>
      <c r="AU59" s="77">
        <v>47</v>
      </c>
      <c r="AV59" s="77">
        <v>152</v>
      </c>
      <c r="AW59" s="77">
        <v>190</v>
      </c>
      <c r="AX59" s="83">
        <f>AX49*6</f>
        <v>582.12765957446811</v>
      </c>
      <c r="AY59" s="83">
        <f t="shared" si="521"/>
        <v>180</v>
      </c>
      <c r="AZ59" s="83">
        <f t="shared" si="522"/>
        <v>23.5</v>
      </c>
      <c r="BA59" s="83">
        <f t="shared" si="523"/>
        <v>76</v>
      </c>
      <c r="BB59" s="3"/>
      <c r="BC59" s="84" t="s">
        <v>78</v>
      </c>
      <c r="BD59" s="77">
        <f t="shared" si="524"/>
        <v>13680</v>
      </c>
      <c r="BE59" s="72">
        <f t="shared" ref="BE59:BF59" si="610">BE49*6</f>
        <v>27216</v>
      </c>
      <c r="BF59" s="72" t="e" vm="2">
        <f t="shared" si="610"/>
        <v>#VALUE!</v>
      </c>
      <c r="BG59" s="77" t="e" vm="2">
        <f t="shared" si="526"/>
        <v>#VALUE!</v>
      </c>
      <c r="BH59" s="77">
        <f t="shared" si="527"/>
        <v>6840</v>
      </c>
      <c r="BI59" s="72" t="e" vm="2">
        <f t="shared" ref="BI59:BJ59" si="611">BI49*6</f>
        <v>#VALUE!</v>
      </c>
      <c r="BJ59" s="72">
        <f t="shared" si="611"/>
        <v>216</v>
      </c>
      <c r="BK59" s="85">
        <v>0.2</v>
      </c>
      <c r="BL59" s="72">
        <f t="shared" ref="BL59:BR59" si="612">BL49*6</f>
        <v>5472</v>
      </c>
      <c r="BM59" s="72">
        <f t="shared" si="612"/>
        <v>4662</v>
      </c>
      <c r="BN59" s="72">
        <f t="shared" si="612"/>
        <v>15431.400000000001</v>
      </c>
      <c r="BO59" s="72">
        <f t="shared" si="612"/>
        <v>1260</v>
      </c>
      <c r="BP59" s="72">
        <f t="shared" si="612"/>
        <v>20376</v>
      </c>
      <c r="BQ59" s="72">
        <f t="shared" si="612"/>
        <v>72</v>
      </c>
      <c r="BR59" s="72" t="e" vm="2">
        <f t="shared" si="612"/>
        <v>#VALUE!</v>
      </c>
      <c r="BS59" s="26"/>
      <c r="BT59" s="72">
        <f t="shared" ref="BT59:BW59" si="613">BT49*6</f>
        <v>8481.5999999999985</v>
      </c>
      <c r="BU59" s="72">
        <f t="shared" si="613"/>
        <v>160603.20000000001</v>
      </c>
      <c r="BV59" s="72">
        <f t="shared" si="613"/>
        <v>10260</v>
      </c>
      <c r="BW59" s="72">
        <f t="shared" si="613"/>
        <v>5040</v>
      </c>
      <c r="BX59" s="77"/>
      <c r="BY59" s="77">
        <f t="shared" si="531"/>
        <v>0</v>
      </c>
      <c r="BZ59" s="3"/>
      <c r="CA59" s="86">
        <f t="shared" si="532"/>
        <v>343532.16</v>
      </c>
      <c r="CB59" s="86">
        <v>15</v>
      </c>
      <c r="CC59" s="86">
        <f t="shared" si="533"/>
        <v>410415</v>
      </c>
      <c r="CD59" s="87">
        <f t="shared" si="534"/>
        <v>216.00171232876713</v>
      </c>
      <c r="CE59" s="88">
        <f t="shared" si="535"/>
        <v>0.17167993065599998</v>
      </c>
      <c r="CF59" s="86" t="e">
        <f t="shared" si="536"/>
        <v>#DIV/0!</v>
      </c>
      <c r="CG59" s="72">
        <f>CG49*6</f>
        <v>12360.955007231998</v>
      </c>
      <c r="CH59" s="89">
        <v>30</v>
      </c>
      <c r="CI59" s="86">
        <f t="shared" si="537"/>
        <v>820815</v>
      </c>
      <c r="CJ59" s="87">
        <f t="shared" si="538"/>
        <v>432.0017123287671</v>
      </c>
      <c r="CK59" s="88">
        <f t="shared" si="539"/>
        <v>0.18693512178000002</v>
      </c>
      <c r="CL59" s="86" t="e">
        <f t="shared" si="540"/>
        <v>#DIV/0!</v>
      </c>
      <c r="CM59" s="72">
        <f>CM49*6</f>
        <v>13459.32876816</v>
      </c>
      <c r="CN59" s="89">
        <v>70</v>
      </c>
      <c r="CO59" s="86">
        <f t="shared" si="541"/>
        <v>1915215</v>
      </c>
      <c r="CP59" s="87">
        <f t="shared" si="542"/>
        <v>1008.0017123287671</v>
      </c>
      <c r="CQ59" s="88">
        <f t="shared" si="543"/>
        <v>0.22796030875679998</v>
      </c>
      <c r="CR59" s="86" t="e">
        <f t="shared" si="544"/>
        <v>#DIV/0!</v>
      </c>
      <c r="CS59" s="72">
        <f>CS49*6</f>
        <v>16413.1422304896</v>
      </c>
      <c r="CT59" s="90">
        <v>3.05</v>
      </c>
      <c r="CU59" s="3"/>
      <c r="CV59" s="86">
        <f t="shared" si="545"/>
        <v>343532.16</v>
      </c>
      <c r="CW59" s="86">
        <v>15</v>
      </c>
      <c r="CX59" s="86">
        <f t="shared" si="546"/>
        <v>410415</v>
      </c>
      <c r="CY59" s="87">
        <f t="shared" si="547"/>
        <v>216.00171232876713</v>
      </c>
      <c r="CZ59" s="88">
        <f t="shared" si="548"/>
        <v>1.8505343428248</v>
      </c>
      <c r="DA59" s="86" t="e">
        <f t="shared" si="549"/>
        <v>#DIV/0!</v>
      </c>
      <c r="DB59" s="72">
        <f>DB49*6</f>
        <v>133238.4726833856</v>
      </c>
      <c r="DC59" s="89">
        <v>30</v>
      </c>
      <c r="DD59" s="86">
        <f t="shared" si="550"/>
        <v>820815</v>
      </c>
      <c r="DE59" s="87">
        <f t="shared" si="551"/>
        <v>432.0017123287671</v>
      </c>
      <c r="DF59" s="88">
        <f t="shared" si="552"/>
        <v>1.8776626936392</v>
      </c>
      <c r="DG59" s="86" t="e">
        <f t="shared" si="553"/>
        <v>#DIV/0!</v>
      </c>
      <c r="DH59" s="72">
        <f>DH49*6</f>
        <v>135191.71394202241</v>
      </c>
      <c r="DI59" s="89">
        <v>70</v>
      </c>
      <c r="DJ59" s="86">
        <f t="shared" si="554"/>
        <v>1915215</v>
      </c>
      <c r="DK59" s="87">
        <f t="shared" si="555"/>
        <v>1008.0017123287671</v>
      </c>
      <c r="DL59" s="88">
        <f t="shared" si="556"/>
        <v>1.9407587651615998</v>
      </c>
      <c r="DM59" s="86" t="e">
        <f t="shared" si="557"/>
        <v>#DIV/0!</v>
      </c>
      <c r="DN59" s="72">
        <f>DN49*6</f>
        <v>139734.63109163521</v>
      </c>
      <c r="DO59" s="90">
        <v>3.9</v>
      </c>
      <c r="DP59" s="7"/>
      <c r="DQ59" s="86">
        <f t="shared" si="558"/>
        <v>343532.16</v>
      </c>
      <c r="DR59" s="86">
        <v>15</v>
      </c>
      <c r="DS59" s="86">
        <f t="shared" si="559"/>
        <v>410415</v>
      </c>
      <c r="DT59" s="87">
        <f t="shared" si="560"/>
        <v>216.00171232876713</v>
      </c>
      <c r="DU59" s="88">
        <f t="shared" si="561"/>
        <v>0.10288203939828003</v>
      </c>
      <c r="DV59" s="86">
        <f t="shared" si="562"/>
        <v>240.00190258751903</v>
      </c>
      <c r="DW59" s="72">
        <f>DW49*6</f>
        <v>14004.241780780801</v>
      </c>
      <c r="DX59" s="89">
        <v>30</v>
      </c>
      <c r="DY59" s="86">
        <f t="shared" si="563"/>
        <v>820815</v>
      </c>
      <c r="DZ59" s="87">
        <f t="shared" si="564"/>
        <v>432.0017123287671</v>
      </c>
      <c r="EA59" s="88">
        <f t="shared" si="565"/>
        <v>0.10703365619220002</v>
      </c>
      <c r="EB59" s="86">
        <f t="shared" si="566"/>
        <v>480.001902587519</v>
      </c>
      <c r="EC59" s="72">
        <f>EC49*6</f>
        <v>14569.357380192003</v>
      </c>
      <c r="ED59" s="89">
        <v>70</v>
      </c>
      <c r="EE59" s="86">
        <f t="shared" si="567"/>
        <v>1915215</v>
      </c>
      <c r="EF59" s="87">
        <f t="shared" si="568"/>
        <v>1008.0017123287671</v>
      </c>
      <c r="EG59" s="88">
        <f t="shared" si="569"/>
        <v>0.13393278350424001</v>
      </c>
      <c r="EH59" s="86">
        <f t="shared" si="570"/>
        <v>1120.001902587519</v>
      </c>
      <c r="EI59" s="72">
        <f>EI49*6</f>
        <v>18230.850530726399</v>
      </c>
      <c r="EJ59" s="90">
        <v>3.9</v>
      </c>
    </row>
    <row r="60" spans="1:140">
      <c r="A60" s="70" t="str">
        <f t="shared" si="0"/>
        <v>RhSc</v>
      </c>
      <c r="B60" s="71">
        <v>321</v>
      </c>
      <c r="C60" s="70" t="s">
        <v>87</v>
      </c>
      <c r="D60" s="70" t="s">
        <v>82</v>
      </c>
      <c r="E60" s="70" t="s">
        <v>84</v>
      </c>
      <c r="F60" s="3"/>
      <c r="G60" s="72">
        <v>60000</v>
      </c>
      <c r="H60" s="72">
        <f t="shared" ref="H60:M60" si="614">(H50*4)+(H49*2)</f>
        <v>48450</v>
      </c>
      <c r="I60" s="72">
        <f t="shared" si="614"/>
        <v>4728</v>
      </c>
      <c r="J60" s="72">
        <f t="shared" si="614"/>
        <v>4102</v>
      </c>
      <c r="K60" s="72">
        <f t="shared" si="614"/>
        <v>2720</v>
      </c>
      <c r="L60" s="72">
        <f t="shared" si="614"/>
        <v>11780</v>
      </c>
      <c r="M60" s="72">
        <f t="shared" si="614"/>
        <v>2325</v>
      </c>
      <c r="N60" s="91">
        <f t="shared" si="507"/>
        <v>0.23508333333333334</v>
      </c>
      <c r="O60" s="177"/>
      <c r="P60" s="181"/>
      <c r="Q60" s="73">
        <f>Q49*2+Q50*4</f>
        <v>5890</v>
      </c>
      <c r="R60" s="72">
        <f t="shared" si="508"/>
        <v>4712</v>
      </c>
      <c r="S60" s="72">
        <f t="shared" si="4"/>
        <v>17670</v>
      </c>
      <c r="T60" s="3"/>
      <c r="U60" s="77">
        <f t="shared" si="509"/>
        <v>14105</v>
      </c>
      <c r="V60" s="78">
        <f t="shared" si="510"/>
        <v>0.23508333333333334</v>
      </c>
      <c r="W60" s="111">
        <f t="shared" si="511"/>
        <v>0.52958333333333329</v>
      </c>
      <c r="X60" s="3"/>
      <c r="Y60" s="79">
        <v>2.5</v>
      </c>
      <c r="Z60" s="77">
        <f t="shared" si="512"/>
        <v>31775</v>
      </c>
      <c r="AA60" s="77">
        <f t="shared" si="513"/>
        <v>25420</v>
      </c>
      <c r="AB60" s="77">
        <f t="shared" si="514"/>
        <v>35340</v>
      </c>
      <c r="AC60" s="72">
        <f>(AC50*4)+(AC49*2)</f>
        <v>28272</v>
      </c>
      <c r="AD60" s="77">
        <f t="shared" si="441"/>
        <v>23560</v>
      </c>
      <c r="AE60" s="77">
        <f t="shared" si="515"/>
        <v>387.5</v>
      </c>
      <c r="AF60" s="77">
        <f t="shared" si="516"/>
        <v>23172.5</v>
      </c>
      <c r="AG60" s="3"/>
      <c r="AH60" s="77">
        <f t="shared" si="14"/>
        <v>11780</v>
      </c>
      <c r="AI60" s="73">
        <f t="shared" ref="AI60:AJ60" si="615">AI49*2+AI50*4</f>
        <v>15301.600000000002</v>
      </c>
      <c r="AJ60" s="77">
        <f t="shared" si="615"/>
        <v>17323.2</v>
      </c>
      <c r="AK60" s="77">
        <f t="shared" ref="AK60:AK61" si="616">SUM(AH60:AJ60)</f>
        <v>44404.800000000003</v>
      </c>
      <c r="AL60" s="77">
        <f>AL49*2+AL50*4</f>
        <v>101214.8</v>
      </c>
      <c r="AM60" s="80">
        <f t="shared" si="518"/>
        <v>0.43871844829017104</v>
      </c>
      <c r="AN60" s="3"/>
      <c r="AO60" s="72">
        <f t="shared" ref="AO60:AP60" si="617">AO49*2+AO50*4</f>
        <v>800</v>
      </c>
      <c r="AP60" s="81">
        <f t="shared" si="617"/>
        <v>1302</v>
      </c>
      <c r="AQ60" s="82">
        <f t="shared" si="520"/>
        <v>2102</v>
      </c>
      <c r="AR60" s="3"/>
      <c r="AS60" s="72">
        <f>(AS50*4)+(AS49*2)</f>
        <v>28</v>
      </c>
      <c r="AT60" s="3"/>
      <c r="AU60" s="77">
        <v>47</v>
      </c>
      <c r="AV60" s="77">
        <v>152</v>
      </c>
      <c r="AW60" s="77">
        <v>190</v>
      </c>
      <c r="AX60" s="83">
        <f>AX49*2+AX50*4</f>
        <v>501.27659574468089</v>
      </c>
      <c r="AY60" s="83">
        <f t="shared" si="521"/>
        <v>155</v>
      </c>
      <c r="AZ60" s="83">
        <f t="shared" si="522"/>
        <v>23.499999999999996</v>
      </c>
      <c r="BA60" s="83">
        <f t="shared" si="523"/>
        <v>76</v>
      </c>
      <c r="BB60" s="3"/>
      <c r="BC60" s="84" t="s">
        <v>78</v>
      </c>
      <c r="BD60" s="77">
        <f t="shared" si="524"/>
        <v>11780</v>
      </c>
      <c r="BE60" s="72">
        <f t="shared" ref="BE60:BF60" si="618">(BE50*4)+(BE49*2)</f>
        <v>23448</v>
      </c>
      <c r="BF60" s="72" t="e" vm="2">
        <f t="shared" si="618"/>
        <v>#VALUE!</v>
      </c>
      <c r="BG60" s="77" t="e" vm="2">
        <f t="shared" si="526"/>
        <v>#VALUE!</v>
      </c>
      <c r="BH60" s="77">
        <f t="shared" si="527"/>
        <v>5890</v>
      </c>
      <c r="BI60" s="72" t="e" vm="2">
        <f t="shared" ref="BI60:BJ60" si="619">(BI50*4)+(BI49*2)</f>
        <v>#VALUE!</v>
      </c>
      <c r="BJ60" s="72">
        <f t="shared" si="619"/>
        <v>183</v>
      </c>
      <c r="BK60" s="85">
        <v>0.2</v>
      </c>
      <c r="BL60" s="72">
        <f t="shared" ref="BL60:BR60" si="620">(BL50*4)+(BL49*2)</f>
        <v>4712</v>
      </c>
      <c r="BM60" s="72">
        <f t="shared" si="620"/>
        <v>4014.5</v>
      </c>
      <c r="BN60" s="72">
        <f t="shared" si="620"/>
        <v>13288.150000000001</v>
      </c>
      <c r="BO60" s="72">
        <f t="shared" si="620"/>
        <v>1085</v>
      </c>
      <c r="BP60" s="72">
        <f t="shared" si="620"/>
        <v>17558</v>
      </c>
      <c r="BQ60" s="72">
        <f t="shared" si="620"/>
        <v>56</v>
      </c>
      <c r="BR60" s="72" t="e" vm="2">
        <f t="shared" si="620"/>
        <v>#VALUE!</v>
      </c>
      <c r="BS60" s="26"/>
      <c r="BT60" s="72">
        <f t="shared" ref="BT60:BW60" si="621">(BT50*4)+(BT49*2)</f>
        <v>7303.5999999999995</v>
      </c>
      <c r="BU60" s="72">
        <f t="shared" si="621"/>
        <v>138297.20000000001</v>
      </c>
      <c r="BV60" s="72">
        <f t="shared" si="621"/>
        <v>8835</v>
      </c>
      <c r="BW60" s="72">
        <f t="shared" si="621"/>
        <v>4340</v>
      </c>
      <c r="BX60" s="77"/>
      <c r="BY60" s="77">
        <f t="shared" si="531"/>
        <v>0</v>
      </c>
      <c r="BZ60" s="3"/>
      <c r="CA60" s="86">
        <f t="shared" si="532"/>
        <v>295819.36</v>
      </c>
      <c r="CB60" s="86">
        <v>15</v>
      </c>
      <c r="CC60" s="86">
        <f t="shared" si="533"/>
        <v>353415</v>
      </c>
      <c r="CD60" s="87">
        <f t="shared" si="534"/>
        <v>186.00171232876713</v>
      </c>
      <c r="CE60" s="88">
        <f t="shared" si="535"/>
        <v>0.17330134828428387</v>
      </c>
      <c r="CF60" s="86" t="e">
        <f t="shared" si="536"/>
        <v>#DIV/0!</v>
      </c>
      <c r="CG60" s="72">
        <f>(CG50*4)+(CG49*2)</f>
        <v>10744.683593625599</v>
      </c>
      <c r="CH60" s="89">
        <v>30</v>
      </c>
      <c r="CI60" s="86">
        <f t="shared" si="537"/>
        <v>706815</v>
      </c>
      <c r="CJ60" s="87">
        <f t="shared" si="538"/>
        <v>372.0017123287671</v>
      </c>
      <c r="CK60" s="88">
        <f t="shared" si="539"/>
        <v>0.18635060038056775</v>
      </c>
      <c r="CL60" s="86" t="e">
        <f t="shared" si="540"/>
        <v>#DIV/0!</v>
      </c>
      <c r="CM60" s="72">
        <f>(CM50*4)+(CM49*2)</f>
        <v>11553.737223595199</v>
      </c>
      <c r="CN60" s="89">
        <v>70</v>
      </c>
      <c r="CO60" s="86">
        <f t="shared" si="541"/>
        <v>1649215</v>
      </c>
      <c r="CP60" s="87">
        <f t="shared" si="542"/>
        <v>868.0017123287671</v>
      </c>
      <c r="CQ60" s="88">
        <f t="shared" si="543"/>
        <v>0.24330272590846455</v>
      </c>
      <c r="CR60" s="86" t="e">
        <f t="shared" si="544"/>
        <v>#DIV/0!</v>
      </c>
      <c r="CS60" s="72">
        <f>(CS50*4)+(CS49*2)</f>
        <v>15084.769006324801</v>
      </c>
      <c r="CT60" s="90">
        <v>3.05</v>
      </c>
      <c r="CU60" s="3"/>
      <c r="CV60" s="86">
        <f t="shared" si="545"/>
        <v>295819.36</v>
      </c>
      <c r="CW60" s="86">
        <v>15</v>
      </c>
      <c r="CX60" s="86">
        <f t="shared" si="546"/>
        <v>353415</v>
      </c>
      <c r="CY60" s="87">
        <f t="shared" si="547"/>
        <v>186.00171232876713</v>
      </c>
      <c r="CZ60" s="88">
        <f t="shared" si="548"/>
        <v>1.8409360697475095</v>
      </c>
      <c r="DA60" s="86" t="e">
        <f t="shared" si="549"/>
        <v>#DIV/0!</v>
      </c>
      <c r="DB60" s="72">
        <f>(DB50*4)+(DB49*2)</f>
        <v>114138.03632434559</v>
      </c>
      <c r="DC60" s="89">
        <v>30</v>
      </c>
      <c r="DD60" s="86">
        <f t="shared" si="550"/>
        <v>706815</v>
      </c>
      <c r="DE60" s="87">
        <f t="shared" si="551"/>
        <v>372.0017123287671</v>
      </c>
      <c r="DF60" s="88">
        <f t="shared" si="552"/>
        <v>1.8658584815062453</v>
      </c>
      <c r="DG60" s="86" t="e">
        <f t="shared" si="553"/>
        <v>#DIV/0!</v>
      </c>
      <c r="DH60" s="72">
        <f>(DH50*4)+(DH49*2)</f>
        <v>115683.22585338721</v>
      </c>
      <c r="DI60" s="89">
        <v>70</v>
      </c>
      <c r="DJ60" s="86">
        <f t="shared" si="554"/>
        <v>1649215</v>
      </c>
      <c r="DK60" s="87">
        <f t="shared" si="555"/>
        <v>868.0017123287671</v>
      </c>
      <c r="DL60" s="88">
        <f t="shared" si="556"/>
        <v>1.9519615288426837</v>
      </c>
      <c r="DM60" s="86" t="e">
        <f t="shared" si="557"/>
        <v>#DIV/0!</v>
      </c>
      <c r="DN60" s="72">
        <f>(DN50*4)+(DN49*2)</f>
        <v>121021.6147882464</v>
      </c>
      <c r="DO60" s="90">
        <v>3.9</v>
      </c>
      <c r="DP60" s="7"/>
      <c r="DQ60" s="86">
        <f t="shared" si="558"/>
        <v>295819.36</v>
      </c>
      <c r="DR60" s="86">
        <v>15</v>
      </c>
      <c r="DS60" s="86">
        <f t="shared" si="559"/>
        <v>353415</v>
      </c>
      <c r="DT60" s="87">
        <f t="shared" si="560"/>
        <v>186.00171232876713</v>
      </c>
      <c r="DU60" s="88">
        <f t="shared" si="561"/>
        <v>0.10235629194887612</v>
      </c>
      <c r="DV60" s="86">
        <f t="shared" si="562"/>
        <v>206.66856925418568</v>
      </c>
      <c r="DW60" s="72">
        <f>(DW50*4)+(DW49*2)</f>
        <v>11997.583275201599</v>
      </c>
      <c r="DX60" s="89">
        <v>30</v>
      </c>
      <c r="DY60" s="86">
        <f t="shared" si="563"/>
        <v>706815</v>
      </c>
      <c r="DZ60" s="87">
        <f t="shared" si="564"/>
        <v>372.0017123287671</v>
      </c>
      <c r="EA60" s="88">
        <f t="shared" si="565"/>
        <v>0.10474281406679227</v>
      </c>
      <c r="EB60" s="86">
        <f t="shared" si="566"/>
        <v>413.33523592085231</v>
      </c>
      <c r="EC60" s="72">
        <f>(EC50*4)+(EC49*2)</f>
        <v>12277.316912505601</v>
      </c>
      <c r="ED60" s="89">
        <v>70</v>
      </c>
      <c r="EE60" s="86">
        <f t="shared" si="567"/>
        <v>1649215</v>
      </c>
      <c r="EF60" s="87">
        <f t="shared" si="568"/>
        <v>868.0017123287671</v>
      </c>
      <c r="EG60" s="88">
        <f t="shared" si="569"/>
        <v>0.1424151085285742</v>
      </c>
      <c r="EH60" s="86">
        <f t="shared" si="570"/>
        <v>964.44634703196346</v>
      </c>
      <c r="EI60" s="72">
        <f>(EI50*4)+(EI49*2)</f>
        <v>16693.034611608</v>
      </c>
      <c r="EJ60" s="90">
        <v>3.9</v>
      </c>
    </row>
    <row r="61" spans="1:140">
      <c r="A61" s="70" t="str">
        <f t="shared" si="0"/>
        <v>RhSa</v>
      </c>
      <c r="B61" s="71">
        <v>322</v>
      </c>
      <c r="C61" s="70" t="s">
        <v>87</v>
      </c>
      <c r="D61" s="70" t="s">
        <v>82</v>
      </c>
      <c r="E61" s="70" t="s">
        <v>85</v>
      </c>
      <c r="F61" s="3"/>
      <c r="G61" s="72">
        <v>60000</v>
      </c>
      <c r="H61" s="72">
        <f t="shared" ref="H61:M61" si="622">(H51*4)+(H49*2)</f>
        <v>48422</v>
      </c>
      <c r="I61" s="72">
        <f t="shared" si="622"/>
        <v>5384</v>
      </c>
      <c r="J61" s="72">
        <f t="shared" si="622"/>
        <v>3554</v>
      </c>
      <c r="K61" s="72">
        <f t="shared" si="622"/>
        <v>2640</v>
      </c>
      <c r="L61" s="72">
        <f t="shared" si="622"/>
        <v>10640</v>
      </c>
      <c r="M61" s="72">
        <f t="shared" si="622"/>
        <v>2100</v>
      </c>
      <c r="N61" s="91">
        <f t="shared" si="507"/>
        <v>0.21233333333333335</v>
      </c>
      <c r="O61" s="179"/>
      <c r="P61" s="182"/>
      <c r="Q61" s="72">
        <f>Q51*4+Q49*2</f>
        <v>5320</v>
      </c>
      <c r="R61" s="72">
        <f t="shared" si="508"/>
        <v>4256</v>
      </c>
      <c r="S61" s="72">
        <f t="shared" si="4"/>
        <v>15960</v>
      </c>
      <c r="T61" s="3"/>
      <c r="U61" s="77">
        <f t="shared" si="509"/>
        <v>12740</v>
      </c>
      <c r="V61" s="78">
        <f t="shared" si="510"/>
        <v>0.21233333333333335</v>
      </c>
      <c r="W61" s="111">
        <f t="shared" si="511"/>
        <v>0.47833333333333333</v>
      </c>
      <c r="X61" s="3"/>
      <c r="Y61" s="79">
        <v>2.5</v>
      </c>
      <c r="Z61" s="77">
        <f t="shared" si="512"/>
        <v>28700</v>
      </c>
      <c r="AA61" s="77">
        <f t="shared" si="513"/>
        <v>22960</v>
      </c>
      <c r="AB61" s="77">
        <f t="shared" si="514"/>
        <v>31920</v>
      </c>
      <c r="AC61" s="72">
        <f>(AC51*4)+(AC49*2)</f>
        <v>25536</v>
      </c>
      <c r="AD61" s="77">
        <f t="shared" si="441"/>
        <v>21280</v>
      </c>
      <c r="AE61" s="77">
        <f t="shared" si="515"/>
        <v>350</v>
      </c>
      <c r="AF61" s="77">
        <f t="shared" si="516"/>
        <v>20930</v>
      </c>
      <c r="AG61" s="3"/>
      <c r="AH61" s="77">
        <f t="shared" si="14"/>
        <v>10640</v>
      </c>
      <c r="AI61" s="72">
        <f t="shared" ref="AI61:AJ61" si="623">AI49*2+AI51*4</f>
        <v>13820.800000000001</v>
      </c>
      <c r="AJ61" s="77">
        <f t="shared" si="623"/>
        <v>16228.800000000001</v>
      </c>
      <c r="AK61" s="77">
        <f t="shared" si="616"/>
        <v>40689.600000000006</v>
      </c>
      <c r="AL61" s="77">
        <f>AL49*2+AL51*4</f>
        <v>91420</v>
      </c>
      <c r="AM61" s="80">
        <f t="shared" si="518"/>
        <v>0.44508422664624814</v>
      </c>
      <c r="AN61" s="3"/>
      <c r="AO61" s="72">
        <f t="shared" ref="AO61:AP61" si="624">AO49*2+AO51*4</f>
        <v>760</v>
      </c>
      <c r="AP61" s="81">
        <f t="shared" si="624"/>
        <v>1176</v>
      </c>
      <c r="AQ61" s="82">
        <f t="shared" si="520"/>
        <v>1936</v>
      </c>
      <c r="AR61" s="3"/>
      <c r="AS61" s="72">
        <f>(AS51*4)+(AS49*2)</f>
        <v>28</v>
      </c>
      <c r="AT61" s="3"/>
      <c r="AU61" s="77">
        <v>47</v>
      </c>
      <c r="AV61" s="77">
        <v>152</v>
      </c>
      <c r="AW61" s="77">
        <v>190</v>
      </c>
      <c r="AX61" s="83">
        <f>AX49*2+AX51*4</f>
        <v>452.76595744680856</v>
      </c>
      <c r="AY61" s="83">
        <f t="shared" si="521"/>
        <v>140</v>
      </c>
      <c r="AZ61" s="83">
        <f t="shared" si="522"/>
        <v>23.499999999999996</v>
      </c>
      <c r="BA61" s="83">
        <f t="shared" si="523"/>
        <v>76</v>
      </c>
      <c r="BB61" s="3"/>
      <c r="BC61" s="84" t="s">
        <v>78</v>
      </c>
      <c r="BD61" s="77">
        <f t="shared" si="524"/>
        <v>10640</v>
      </c>
      <c r="BE61" s="72">
        <f t="shared" ref="BE61:BF61" si="625">(BE51*4)+(BE49*2)</f>
        <v>21168</v>
      </c>
      <c r="BF61" s="72" t="e" vm="2">
        <f t="shared" si="625"/>
        <v>#VALUE!</v>
      </c>
      <c r="BG61" s="77" t="e" vm="2">
        <f t="shared" si="526"/>
        <v>#VALUE!</v>
      </c>
      <c r="BH61" s="77">
        <f t="shared" si="527"/>
        <v>5320</v>
      </c>
      <c r="BI61" s="72" t="e" vm="2">
        <f t="shared" ref="BI61:BJ61" si="626">(BI51*4)+(BI49*2)</f>
        <v>#VALUE!</v>
      </c>
      <c r="BJ61" s="72">
        <f t="shared" si="626"/>
        <v>168</v>
      </c>
      <c r="BK61" s="85">
        <v>0.2</v>
      </c>
      <c r="BL61" s="72">
        <f t="shared" ref="BL61:BR61" si="627">(BL51*4)+(BL49*2)</f>
        <v>4256</v>
      </c>
      <c r="BM61" s="72">
        <f t="shared" si="627"/>
        <v>3626</v>
      </c>
      <c r="BN61" s="72">
        <f t="shared" si="627"/>
        <v>12002.2</v>
      </c>
      <c r="BO61" s="72">
        <f t="shared" si="627"/>
        <v>980</v>
      </c>
      <c r="BP61" s="72">
        <f t="shared" si="627"/>
        <v>15848</v>
      </c>
      <c r="BQ61" s="72">
        <f t="shared" si="627"/>
        <v>56</v>
      </c>
      <c r="BR61" s="72" t="e" vm="2">
        <f t="shared" si="627"/>
        <v>#VALUE!</v>
      </c>
      <c r="BS61" s="26"/>
      <c r="BT61" s="72">
        <f t="shared" ref="BT61:BW61" si="628">(BT51*4)+(BT49*2)</f>
        <v>6596.7999999999993</v>
      </c>
      <c r="BU61" s="72">
        <f t="shared" si="628"/>
        <v>124913.60000000001</v>
      </c>
      <c r="BV61" s="72">
        <f t="shared" si="628"/>
        <v>7980</v>
      </c>
      <c r="BW61" s="72">
        <f t="shared" si="628"/>
        <v>3920</v>
      </c>
      <c r="BX61" s="77"/>
      <c r="BY61" s="77">
        <f t="shared" si="531"/>
        <v>0</v>
      </c>
      <c r="BZ61" s="3"/>
      <c r="CA61" s="86">
        <f t="shared" si="532"/>
        <v>267191.67999999999</v>
      </c>
      <c r="CB61" s="86">
        <v>15</v>
      </c>
      <c r="CC61" s="86">
        <f t="shared" si="533"/>
        <v>319215</v>
      </c>
      <c r="CD61" s="87">
        <f t="shared" si="534"/>
        <v>168.00171232876713</v>
      </c>
      <c r="CE61" s="88">
        <f t="shared" si="535"/>
        <v>0.17131135792045715</v>
      </c>
      <c r="CF61" s="86" t="e">
        <f t="shared" si="536"/>
        <v>#DIV/0!</v>
      </c>
      <c r="CG61" s="72">
        <f>(CG51*4)+(CG49*2)</f>
        <v>9593.4360435456001</v>
      </c>
      <c r="CH61" s="89">
        <v>30</v>
      </c>
      <c r="CI61" s="86">
        <f t="shared" si="537"/>
        <v>638415</v>
      </c>
      <c r="CJ61" s="87">
        <f t="shared" si="538"/>
        <v>336.0017123287671</v>
      </c>
      <c r="CK61" s="88">
        <f t="shared" si="539"/>
        <v>0.18693512177999999</v>
      </c>
      <c r="CL61" s="86" t="e">
        <f t="shared" si="540"/>
        <v>#DIV/0!</v>
      </c>
      <c r="CM61" s="72">
        <f>(CM51*4)+(CM49*2)</f>
        <v>10468.366819679999</v>
      </c>
      <c r="CN61" s="89">
        <v>70</v>
      </c>
      <c r="CO61" s="86">
        <f t="shared" si="541"/>
        <v>1489615</v>
      </c>
      <c r="CP61" s="87">
        <f t="shared" si="542"/>
        <v>784.0017123287671</v>
      </c>
      <c r="CQ61" s="88">
        <f t="shared" si="543"/>
        <v>0.22796030875679998</v>
      </c>
      <c r="CR61" s="86" t="e">
        <f t="shared" si="544"/>
        <v>#DIV/0!</v>
      </c>
      <c r="CS61" s="72">
        <f>(CS51*4)+(CS49*2)</f>
        <v>12765.7772903808</v>
      </c>
      <c r="CT61" s="90">
        <v>3.05</v>
      </c>
      <c r="CU61" s="3"/>
      <c r="CV61" s="86">
        <f t="shared" si="545"/>
        <v>267191.67999999999</v>
      </c>
      <c r="CW61" s="86">
        <v>15</v>
      </c>
      <c r="CX61" s="86">
        <f t="shared" si="546"/>
        <v>319215</v>
      </c>
      <c r="CY61" s="87">
        <f t="shared" si="547"/>
        <v>168.00171232876713</v>
      </c>
      <c r="CZ61" s="88">
        <f t="shared" si="548"/>
        <v>1.8412211769774858</v>
      </c>
      <c r="DA61" s="86" t="e">
        <f t="shared" si="549"/>
        <v>#DIV/0!</v>
      </c>
      <c r="DB61" s="72">
        <f>(DB51*4)+(DB49*2)</f>
        <v>103108.38591073919</v>
      </c>
      <c r="DC61" s="89">
        <v>30</v>
      </c>
      <c r="DD61" s="86">
        <f t="shared" si="550"/>
        <v>638415</v>
      </c>
      <c r="DE61" s="87">
        <f t="shared" si="551"/>
        <v>336.0017123287671</v>
      </c>
      <c r="DF61" s="88">
        <f t="shared" si="552"/>
        <v>1.8683495277658286</v>
      </c>
      <c r="DG61" s="86" t="e">
        <f t="shared" si="553"/>
        <v>#DIV/0!</v>
      </c>
      <c r="DH61" s="72">
        <f>(DH51*4)+(DH49*2)</f>
        <v>104627.5735548864</v>
      </c>
      <c r="DI61" s="89">
        <v>70</v>
      </c>
      <c r="DJ61" s="86">
        <f t="shared" si="554"/>
        <v>1489615</v>
      </c>
      <c r="DK61" s="87">
        <f t="shared" si="555"/>
        <v>784.0017123287671</v>
      </c>
      <c r="DL61" s="88">
        <f t="shared" si="556"/>
        <v>1.9314455993142856</v>
      </c>
      <c r="DM61" s="86" t="e">
        <f t="shared" si="557"/>
        <v>#DIV/0!</v>
      </c>
      <c r="DN61" s="72">
        <f>(DN51*4)+(DN49*2)</f>
        <v>108160.95356160001</v>
      </c>
      <c r="DO61" s="90">
        <v>3.9</v>
      </c>
      <c r="DP61" s="7"/>
      <c r="DQ61" s="86">
        <f t="shared" si="558"/>
        <v>267191.67999999999</v>
      </c>
      <c r="DR61" s="86">
        <v>15</v>
      </c>
      <c r="DS61" s="86">
        <f t="shared" si="559"/>
        <v>319215</v>
      </c>
      <c r="DT61" s="87">
        <f t="shared" si="560"/>
        <v>168.00171232876713</v>
      </c>
      <c r="DU61" s="88">
        <f t="shared" si="561"/>
        <v>0.10261225927949141</v>
      </c>
      <c r="DV61" s="86">
        <f t="shared" si="562"/>
        <v>186.66856925418568</v>
      </c>
      <c r="DW61" s="72">
        <f>(DW51*4)+(DW49*2)</f>
        <v>10863.6262560576</v>
      </c>
      <c r="DX61" s="89">
        <v>30</v>
      </c>
      <c r="DY61" s="86">
        <f t="shared" si="563"/>
        <v>638415</v>
      </c>
      <c r="DZ61" s="87">
        <f t="shared" si="564"/>
        <v>336.0017123287671</v>
      </c>
      <c r="EA61" s="88">
        <f t="shared" si="565"/>
        <v>0.10676387608719427</v>
      </c>
      <c r="EB61" s="86">
        <f t="shared" si="566"/>
        <v>373.33523592085231</v>
      </c>
      <c r="EC61" s="72">
        <f>(EC51*4)+(EC49*2)</f>
        <v>11303.1606126144</v>
      </c>
      <c r="ED61" s="89">
        <v>70</v>
      </c>
      <c r="EE61" s="86">
        <f t="shared" si="567"/>
        <v>1489615</v>
      </c>
      <c r="EF61" s="87">
        <f t="shared" si="568"/>
        <v>784.0017123287671</v>
      </c>
      <c r="EG61" s="88">
        <f t="shared" si="569"/>
        <v>0.1328400580397143</v>
      </c>
      <c r="EH61" s="86">
        <f t="shared" si="570"/>
        <v>871.11301369863008</v>
      </c>
      <c r="EI61" s="72">
        <f>(EI51*4)+(EI49*2)</f>
        <v>14063.86286112</v>
      </c>
      <c r="EJ61" s="90">
        <v>3.9</v>
      </c>
    </row>
    <row r="62" spans="1:140">
      <c r="A62" s="11" t="str">
        <f t="shared" si="0"/>
        <v/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21">
        <f t="shared" si="4"/>
        <v>0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26"/>
      <c r="AE62" s="3"/>
      <c r="AF62" s="3"/>
      <c r="AG62" s="3"/>
      <c r="AH62" s="6">
        <f t="shared" si="14"/>
        <v>0</v>
      </c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102"/>
      <c r="CM62" s="102"/>
      <c r="CN62" s="102"/>
      <c r="CO62" s="102"/>
      <c r="CP62" s="7"/>
      <c r="CQ62" s="7"/>
      <c r="CR62" s="103"/>
      <c r="CS62" s="103"/>
      <c r="CT62" s="104"/>
      <c r="CU62" s="3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</row>
    <row r="63" spans="1:140">
      <c r="A63" s="18" t="str">
        <f t="shared" si="0"/>
        <v>ZgKr</v>
      </c>
      <c r="B63" s="19">
        <v>37</v>
      </c>
      <c r="C63" s="18" t="s">
        <v>88</v>
      </c>
      <c r="D63" s="18" t="s">
        <v>76</v>
      </c>
      <c r="E63" s="18" t="s">
        <v>77</v>
      </c>
      <c r="F63" s="3"/>
      <c r="G63" s="21">
        <v>10000</v>
      </c>
      <c r="H63" s="21">
        <v>7225</v>
      </c>
      <c r="I63" s="21">
        <v>1164</v>
      </c>
      <c r="J63" s="21">
        <v>931</v>
      </c>
      <c r="K63" s="21">
        <v>680</v>
      </c>
      <c r="L63" s="21">
        <f>1039.5*2</f>
        <v>2079</v>
      </c>
      <c r="M63" s="118"/>
      <c r="N63" s="23">
        <f t="shared" ref="N63:N71" si="629">(L63+M63)/G63</f>
        <v>0.2079</v>
      </c>
      <c r="O63" s="21">
        <f t="shared" ref="O63:O71" si="630">30*AY63</f>
        <v>1919.0769230769233</v>
      </c>
      <c r="P63" s="21">
        <f t="shared" ref="P63:P71" si="631">O63*0.8</f>
        <v>1535.2615384615387</v>
      </c>
      <c r="Q63" s="21">
        <f>AY63*12</f>
        <v>767.63076923076937</v>
      </c>
      <c r="R63" s="21">
        <f t="shared" ref="R63:R71" si="632">Q63*0.8</f>
        <v>614.1046153846155</v>
      </c>
      <c r="S63" s="21">
        <f t="shared" si="4"/>
        <v>2302.8923076923083</v>
      </c>
      <c r="T63" s="3"/>
      <c r="U63" s="26">
        <f t="shared" ref="U63:U71" si="633">L63+M63</f>
        <v>2079</v>
      </c>
      <c r="V63" s="27">
        <f t="shared" ref="V63:V71" si="634">U63/G63</f>
        <v>0.2079</v>
      </c>
      <c r="W63" s="108">
        <f t="shared" ref="W63:W71" si="635">Z63/G63</f>
        <v>0.62370000000000003</v>
      </c>
      <c r="X63" s="28"/>
      <c r="Y63" s="29">
        <v>3</v>
      </c>
      <c r="Z63" s="26">
        <f t="shared" ref="Z63:Z71" si="636">(L63*Y63)+M63</f>
        <v>6237</v>
      </c>
      <c r="AA63" s="26">
        <f t="shared" ref="AA63:AA71" si="637">Z63*0.8</f>
        <v>4989.6000000000004</v>
      </c>
      <c r="AB63" s="26">
        <f t="shared" ref="AB63:AB71" si="638">(L63*Y63)+BH63</f>
        <v>7004.6307692307691</v>
      </c>
      <c r="AC63" s="26">
        <f t="shared" ref="AC63:AC71" si="639">AB63*(1-0.15)</f>
        <v>5953.9361538461535</v>
      </c>
      <c r="AD63" s="26">
        <f t="shared" ref="AD63:AD71" si="640">((L63*Y63)*0.8)</f>
        <v>4989.6000000000004</v>
      </c>
      <c r="AE63" s="26">
        <f t="shared" ref="AE63:AE71" si="641">2.5*AY63</f>
        <v>159.92307692307693</v>
      </c>
      <c r="AF63" s="26">
        <f t="shared" ref="AF63:AF71" si="642">AD63-AE63</f>
        <v>4829.6769230769232</v>
      </c>
      <c r="AG63" s="3"/>
      <c r="AH63" s="26">
        <f t="shared" si="14"/>
        <v>2079</v>
      </c>
      <c r="AI63" s="26">
        <f t="shared" ref="AI63:AI71" si="643">AH63</f>
        <v>2079</v>
      </c>
      <c r="AJ63" s="26">
        <f>1629*2</f>
        <v>3258</v>
      </c>
      <c r="AK63" s="26">
        <f t="shared" ref="AK63:AK71" si="644">SUM(AH63:AJ63)</f>
        <v>7416</v>
      </c>
      <c r="AL63" s="26">
        <f>9355.5*2</f>
        <v>18711</v>
      </c>
      <c r="AM63" s="31">
        <f t="shared" ref="AM63:AM71" si="645">AK63/AL63</f>
        <v>0.39634439634439633</v>
      </c>
      <c r="AN63" s="32"/>
      <c r="AO63" s="21">
        <v>200</v>
      </c>
      <c r="AP63" s="114">
        <f>13.5*2</f>
        <v>27</v>
      </c>
      <c r="AQ63" s="26">
        <f t="shared" ref="AQ63:AQ71" si="646">AO63+AP63</f>
        <v>227</v>
      </c>
      <c r="AR63" s="3"/>
      <c r="AS63" s="26">
        <v>2</v>
      </c>
      <c r="AT63" s="3"/>
      <c r="AU63" s="26">
        <v>41</v>
      </c>
      <c r="AV63" s="26">
        <v>78</v>
      </c>
      <c r="AW63" s="26">
        <v>121</v>
      </c>
      <c r="AX63" s="35">
        <f t="shared" ref="AX63:AX71" si="647">AD63/AU63</f>
        <v>121.69756097560976</v>
      </c>
      <c r="AY63" s="35">
        <f t="shared" ref="AY63:AY71" si="648">AD63/AV63</f>
        <v>63.969230769230776</v>
      </c>
      <c r="AZ63" s="35">
        <f t="shared" ref="AZ63:AZ71" si="649">L63/AX63</f>
        <v>17.083333333333332</v>
      </c>
      <c r="BA63" s="35">
        <f t="shared" ref="BA63:BA71" si="650">L63/AY63</f>
        <v>32.499999999999993</v>
      </c>
      <c r="BB63" s="3"/>
      <c r="BC63" s="37" t="s">
        <v>89</v>
      </c>
      <c r="BD63" s="26">
        <f t="shared" ref="BD63:BD71" si="651">AH63</f>
        <v>2079</v>
      </c>
      <c r="BE63" s="37">
        <f t="shared" ref="BE63:BE71" si="652">(AC63-(2*BQ63)-R63)</f>
        <v>5291.831538461538</v>
      </c>
      <c r="BF63" s="37" t="e" vm="1">
        <f>'[1]4 - Flächen'!AJ63</f>
        <v>#VALUE!</v>
      </c>
      <c r="BG63" s="26" t="e" vm="2">
        <f t="shared" ref="BG63:BG71" si="653">BF63-BL63-((2.2*1.1)*BJ63)</f>
        <v>#VALUE!</v>
      </c>
      <c r="BH63" s="26">
        <f t="shared" ref="BH63:BH71" si="654">Q63</f>
        <v>767.63076923076937</v>
      </c>
      <c r="BI63" s="37" t="e" vm="2">
        <f t="shared" ref="BI63:BI71" si="655">BF63/Y63</f>
        <v>#VALUE!</v>
      </c>
      <c r="BJ63" s="37">
        <f t="shared" ref="BJ63:BJ71" si="656">(2*AS63)+AY63</f>
        <v>67.969230769230776</v>
      </c>
      <c r="BK63" s="39">
        <v>0.18</v>
      </c>
      <c r="BL63" s="26">
        <f t="shared" ref="BL63:BL71" si="657">AD63*BK63</f>
        <v>898.12800000000004</v>
      </c>
      <c r="BM63" s="26">
        <f t="shared" ref="BM63:BM71" si="658">(56.33-(2*2))*AY63</f>
        <v>3347.5098461538464</v>
      </c>
      <c r="BN63" s="26">
        <f t="shared" ref="BN63:BN71" si="659">(65-(6*2))*AY63</f>
        <v>3390.3692307692313</v>
      </c>
      <c r="BO63" s="26">
        <f t="shared" ref="BO63:BO71" si="660">8*AY63</f>
        <v>511.75384615384621</v>
      </c>
      <c r="BP63" s="37" cm="1">
        <f t="array" ref="BP63">BE63 - _xlfn.IFS(
    _xlfn.XOR(Y63 &lt; 2.5, Y63 = 2.5), 0.5 * AH63,
    _xlfn.XOR(Y63 &lt; 2.5, Y63 = 2.5) = FALSE, 0
)</f>
        <v>5291.831538461538</v>
      </c>
      <c r="BQ63" s="26">
        <f t="shared" ref="BQ63:BQ64" si="661">AS63*(Y63)*4</f>
        <v>24</v>
      </c>
      <c r="BR63" s="37" t="e" vm="1">
        <f>'[1]4 - Flächen'!AI63</f>
        <v>#VALUE!</v>
      </c>
      <c r="BS63" s="26"/>
      <c r="BT63" s="26">
        <f t="shared" ref="BT63:BT71" si="662">0.56*AD63</f>
        <v>2794.1760000000004</v>
      </c>
      <c r="BU63" s="26">
        <f t="shared" ref="BU63:BU71" si="663">5.71*AD63</f>
        <v>28490.616000000002</v>
      </c>
      <c r="BV63" s="37">
        <f t="shared" ref="BV63:BV71" si="664">57*AY63</f>
        <v>3646.2461538461544</v>
      </c>
      <c r="BW63" s="37">
        <f t="shared" ref="BW63:BW71" si="665">28*AY63</f>
        <v>1791.1384615384618</v>
      </c>
      <c r="BX63" s="26"/>
      <c r="BY63" s="26">
        <f t="shared" ref="BY63:BY68" si="666">IF(Y63&gt;3,AS63,0)</f>
        <v>0</v>
      </c>
      <c r="BZ63" s="3"/>
      <c r="CA63" s="40">
        <f t="shared" ref="CA63:CA71" si="667">(34.4*365*$AD63)/1000</f>
        <v>62649.417600000001</v>
      </c>
      <c r="CB63" s="43">
        <v>15</v>
      </c>
      <c r="CC63" s="40">
        <f t="shared" ref="CC63:CC71" si="668">$AD63*CB63+($CB63)</f>
        <v>74859</v>
      </c>
      <c r="CD63" s="41">
        <f t="shared" ref="CD63:CD71" si="669">((CC63-$CB63)/1900)+($CB63/8760)</f>
        <v>39.39329127613555</v>
      </c>
      <c r="CE63" s="42">
        <f t="shared" ref="CE63:CE71" si="670">((380*$CG63)/1000)/$AD63</f>
        <v>0.18847634037481345</v>
      </c>
      <c r="CF63" s="40" t="e">
        <f t="shared" ref="CF63:CF71" si="671">$CD63/$CU63</f>
        <v>#DIV/0!</v>
      </c>
      <c r="CG63" s="40">
        <f>0.4156567157*AC63</f>
        <v>2474.7935471951823</v>
      </c>
      <c r="CH63" s="43">
        <v>30</v>
      </c>
      <c r="CI63" s="40">
        <f t="shared" ref="CI63:CI71" si="672">$AD63*CH63+($CB63)</f>
        <v>149703</v>
      </c>
      <c r="CJ63" s="41">
        <f t="shared" ref="CJ63:CJ71" si="673">((CI63-$CB63)/1900)+($CB63/8760)</f>
        <v>78.784870223503972</v>
      </c>
      <c r="CK63" s="42">
        <f t="shared" ref="CK63:CK71" si="674">((380*$CM63)/1000)/$AD63</f>
        <v>0.2376203495301269</v>
      </c>
      <c r="CL63" s="40" t="e">
        <f t="shared" ref="CL63:CL71" si="675">$CJ63/$CU63</f>
        <v>#DIV/0!</v>
      </c>
      <c r="CM63" s="119">
        <f>0.5240365654*AC63</f>
        <v>3120.0802526724242</v>
      </c>
      <c r="CN63" s="43">
        <v>70</v>
      </c>
      <c r="CO63" s="40">
        <f t="shared" ref="CO63:CO71" si="676">$AD63*CN63+($CB63)</f>
        <v>349287</v>
      </c>
      <c r="CP63" s="41">
        <f t="shared" ref="CP63:CP71" si="677">((CO63-$CB63)/1900)+($CB63/8760)</f>
        <v>183.82908074981975</v>
      </c>
      <c r="CQ63" s="42">
        <f t="shared" ref="CQ63:CQ71" si="678">((380*$CS63)/1000)/$AD63</f>
        <v>0.29533371351544613</v>
      </c>
      <c r="CR63" s="40" t="e">
        <f t="shared" ref="CR63:CR71" si="679">$CP63/$CU63</f>
        <v>#DIV/0!</v>
      </c>
      <c r="CS63" s="40">
        <f>0.6513148608*AC63</f>
        <v>3877.887097254395</v>
      </c>
      <c r="CT63" s="44">
        <v>3.05</v>
      </c>
      <c r="CU63" s="3"/>
      <c r="CV63" s="40">
        <f t="shared" ref="CV63:CV71" si="680">(34.4*365*$AD63)/1000</f>
        <v>62649.417600000001</v>
      </c>
      <c r="CW63" s="40">
        <v>15</v>
      </c>
      <c r="CX63" s="40">
        <f t="shared" ref="CX63:CX71" si="681">$AD63*CW63+($CW63)</f>
        <v>74859</v>
      </c>
      <c r="CY63" s="41">
        <f t="shared" ref="CY63:CY71" si="682">((CX63-$CW63)/1900)+($CW63/8760)</f>
        <v>39.39329127613555</v>
      </c>
      <c r="CZ63" s="42">
        <f t="shared" ref="CZ63:CZ71" si="683">((380*$DB63)/1000)/$AD63</f>
        <v>2.1209962680176404</v>
      </c>
      <c r="DA63" s="40" t="e">
        <f t="shared" ref="DA63:DA71" si="684">$CY63/$DP63</f>
        <v>#DIV/0!</v>
      </c>
      <c r="DB63" s="21">
        <f>4.6775438287*AC63</f>
        <v>27849.797312896892</v>
      </c>
      <c r="DC63" s="43">
        <v>30</v>
      </c>
      <c r="DD63" s="40">
        <f t="shared" ref="DD63:DD71" si="685">$AD63*DC63+($CW63)</f>
        <v>149703</v>
      </c>
      <c r="DE63" s="41">
        <f t="shared" ref="DE63:DE71" si="686">((DD63-$CW63)/1900)+($CW63/8760)</f>
        <v>78.784870223503972</v>
      </c>
      <c r="DF63" s="42">
        <f t="shared" ref="DF63:DF71" si="687">((380*$DH63)/1000)/$AD63</f>
        <v>2.1810574999999996</v>
      </c>
      <c r="DG63" s="40" t="e">
        <f t="shared" ref="DG63:DG71" si="688">$DE63/$DP63</f>
        <v>#DIV/0!</v>
      </c>
      <c r="DH63" s="40">
        <f>4.81*AC63</f>
        <v>28638.432899999996</v>
      </c>
      <c r="DI63" s="43">
        <v>70</v>
      </c>
      <c r="DJ63" s="40">
        <f t="shared" ref="DJ63:DJ71" si="689">$AD63*DI63+($CW63)</f>
        <v>349287</v>
      </c>
      <c r="DK63" s="41">
        <f t="shared" ref="DK63:DK71" si="690">((DJ63-$CW63)/1900)+($CW63/8760)</f>
        <v>183.82908074981975</v>
      </c>
      <c r="DL63" s="42">
        <f t="shared" ref="DL63:DL71" si="691">((380*$DN63)/1000)/$AD63</f>
        <v>2.2733449088030788</v>
      </c>
      <c r="DM63" s="40" t="e">
        <f t="shared" ref="DM63:DM71" si="692">$DK63/$DP63</f>
        <v>#DIV/0!</v>
      </c>
      <c r="DN63" s="40">
        <f>5.0135262419*AC63</f>
        <v>29850.215149904849</v>
      </c>
      <c r="DO63" s="44">
        <v>3.9</v>
      </c>
      <c r="DP63" s="7"/>
      <c r="DQ63" s="40">
        <f t="shared" ref="DQ63:DQ71" si="693">(34.4*365*$AD63)/1000</f>
        <v>62649.417600000001</v>
      </c>
      <c r="DR63" s="40">
        <v>15</v>
      </c>
      <c r="DS63" s="40">
        <f t="shared" ref="DS63:DS71" si="694">$AD63*DR63+($DR63)</f>
        <v>74859</v>
      </c>
      <c r="DT63" s="41">
        <f t="shared" ref="DT63:DT71" si="695">((DS63-$DR63)/1900)+($DR63/8760)</f>
        <v>39.39329127613555</v>
      </c>
      <c r="DU63" s="42">
        <f t="shared" ref="DU63:DU71" si="696">((201*$DW63)/1000)/$AD63</f>
        <v>0.10294030561456846</v>
      </c>
      <c r="DV63" s="40">
        <f t="shared" ref="DV63:DV71" si="697">$DT63/0.9</f>
        <v>43.770323640150608</v>
      </c>
      <c r="DW63" s="40">
        <f>0.4291913432*AC63</f>
        <v>2555.3778551962728</v>
      </c>
      <c r="DX63" s="43">
        <v>30</v>
      </c>
      <c r="DY63" s="40">
        <f t="shared" ref="DY63:DY71" si="698">$AD63*DX63+($DR63)</f>
        <v>149703</v>
      </c>
      <c r="DZ63" s="41">
        <f t="shared" ref="DZ63:DZ71" si="699">((DY63-$DR63)/1900)+($DR63/8760)</f>
        <v>78.784870223503972</v>
      </c>
      <c r="EA63" s="42">
        <f t="shared" ref="EA63:EA71" si="700">((201*$EC63)/1000)/$AD63</f>
        <v>0.17120759268779076</v>
      </c>
      <c r="EB63" s="40">
        <f t="shared" ref="EB63:EB71" si="701">$DZ63/0.9</f>
        <v>87.538744692782188</v>
      </c>
      <c r="EC63" s="40">
        <f>0.7138196864*AC63</f>
        <v>4250.0368381840835</v>
      </c>
      <c r="ED63" s="43">
        <v>70</v>
      </c>
      <c r="EE63" s="40">
        <f t="shared" ref="EE63:EE71" si="702">$AD63*ED63+($DR63)</f>
        <v>349287</v>
      </c>
      <c r="EF63" s="41">
        <f t="shared" ref="EF63:EF71" si="703">((EE63-$DR63)/1900)+($DR63/8760)</f>
        <v>183.82908074981975</v>
      </c>
      <c r="EG63" s="42">
        <f t="shared" ref="EG63:EG71" si="704">((201*$EI63)/1000)/$AD63</f>
        <v>0.1894324232400196</v>
      </c>
      <c r="EH63" s="40">
        <f t="shared" ref="EH63:EH71" si="705">$EF63/0.9</f>
        <v>204.25453416646639</v>
      </c>
      <c r="EI63" s="40">
        <f>0.7898048844*AC63</f>
        <v>4702.4478557134416</v>
      </c>
      <c r="EJ63" s="44">
        <v>3.9</v>
      </c>
    </row>
    <row r="64" spans="1:140">
      <c r="A64" s="18" t="str">
        <f t="shared" si="0"/>
        <v>ZgKu</v>
      </c>
      <c r="B64" s="19">
        <v>38</v>
      </c>
      <c r="C64" s="18" t="s">
        <v>88</v>
      </c>
      <c r="D64" s="18" t="s">
        <v>76</v>
      </c>
      <c r="E64" s="18" t="s">
        <v>79</v>
      </c>
      <c r="F64" s="3"/>
      <c r="G64" s="21">
        <v>10000</v>
      </c>
      <c r="H64" s="45">
        <v>8500</v>
      </c>
      <c r="I64" s="45">
        <v>600</v>
      </c>
      <c r="J64" s="45">
        <v>560</v>
      </c>
      <c r="K64" s="45">
        <v>340</v>
      </c>
      <c r="L64" s="21">
        <f>1039.5*1.5</f>
        <v>1559.25</v>
      </c>
      <c r="M64" s="177"/>
      <c r="N64" s="46">
        <f t="shared" si="629"/>
        <v>0.15592500000000001</v>
      </c>
      <c r="O64" s="21">
        <f t="shared" si="630"/>
        <v>1439.3076923076924</v>
      </c>
      <c r="P64" s="21">
        <f t="shared" si="631"/>
        <v>1151.4461538461539</v>
      </c>
      <c r="Q64" s="21">
        <f t="shared" ref="Q64:Q71" si="706">AY64*12</f>
        <v>575.72307692307697</v>
      </c>
      <c r="R64" s="21">
        <f t="shared" si="632"/>
        <v>460.57846153846162</v>
      </c>
      <c r="S64" s="21">
        <f t="shared" si="4"/>
        <v>1727.169230769231</v>
      </c>
      <c r="T64" s="3"/>
      <c r="U64" s="26">
        <f t="shared" si="633"/>
        <v>1559.25</v>
      </c>
      <c r="V64" s="27">
        <f t="shared" si="634"/>
        <v>0.15592500000000001</v>
      </c>
      <c r="W64" s="108">
        <f t="shared" si="635"/>
        <v>0.467775</v>
      </c>
      <c r="X64" s="28"/>
      <c r="Y64" s="29">
        <v>3</v>
      </c>
      <c r="Z64" s="26">
        <f t="shared" si="636"/>
        <v>4677.75</v>
      </c>
      <c r="AA64" s="26">
        <f t="shared" si="637"/>
        <v>3742.2000000000003</v>
      </c>
      <c r="AB64" s="26">
        <f t="shared" si="638"/>
        <v>5253.4730769230773</v>
      </c>
      <c r="AC64" s="26">
        <f t="shared" si="639"/>
        <v>4465.4521153846154</v>
      </c>
      <c r="AD64" s="26">
        <f t="shared" si="640"/>
        <v>3742.2000000000003</v>
      </c>
      <c r="AE64" s="26">
        <f t="shared" si="641"/>
        <v>119.94230769230769</v>
      </c>
      <c r="AF64" s="26">
        <f t="shared" si="642"/>
        <v>3622.2576923076927</v>
      </c>
      <c r="AG64" s="3"/>
      <c r="AH64" s="26">
        <f t="shared" si="14"/>
        <v>1559.25</v>
      </c>
      <c r="AI64" s="26">
        <f t="shared" si="643"/>
        <v>1559.25</v>
      </c>
      <c r="AJ64" s="26">
        <f>1629*1.5</f>
        <v>2443.5</v>
      </c>
      <c r="AK64" s="26">
        <f t="shared" si="644"/>
        <v>5562</v>
      </c>
      <c r="AL64" s="26">
        <f>9355.5*1.5</f>
        <v>14033.25</v>
      </c>
      <c r="AM64" s="31">
        <f t="shared" si="645"/>
        <v>0.39634439634439633</v>
      </c>
      <c r="AN64" s="32"/>
      <c r="AO64" s="21">
        <v>100</v>
      </c>
      <c r="AP64" s="114">
        <f>13.5*1.5</f>
        <v>20.25</v>
      </c>
      <c r="AQ64" s="26">
        <f t="shared" si="646"/>
        <v>120.25</v>
      </c>
      <c r="AR64" s="3"/>
      <c r="AS64" s="120">
        <v>1.5</v>
      </c>
      <c r="AT64" s="3"/>
      <c r="AU64" s="26">
        <v>41</v>
      </c>
      <c r="AV64" s="26">
        <v>78</v>
      </c>
      <c r="AW64" s="26">
        <v>121</v>
      </c>
      <c r="AX64" s="35">
        <f t="shared" si="647"/>
        <v>91.273170731707324</v>
      </c>
      <c r="AY64" s="35">
        <f t="shared" si="648"/>
        <v>47.976923076923079</v>
      </c>
      <c r="AZ64" s="35">
        <f t="shared" si="649"/>
        <v>17.083333333333332</v>
      </c>
      <c r="BA64" s="35">
        <f t="shared" si="650"/>
        <v>32.5</v>
      </c>
      <c r="BB64" s="3"/>
      <c r="BC64" s="37" t="s">
        <v>89</v>
      </c>
      <c r="BD64" s="26">
        <f t="shared" si="651"/>
        <v>1559.25</v>
      </c>
      <c r="BE64" s="37">
        <f t="shared" si="652"/>
        <v>3968.8736538461535</v>
      </c>
      <c r="BF64" s="37" t="e" vm="1">
        <f>'[1]4 - Flächen'!AJ64</f>
        <v>#VALUE!</v>
      </c>
      <c r="BG64" s="26" t="e" vm="2">
        <f t="shared" si="653"/>
        <v>#VALUE!</v>
      </c>
      <c r="BH64" s="26">
        <f t="shared" si="654"/>
        <v>575.72307692307697</v>
      </c>
      <c r="BI64" s="37" t="e" vm="2">
        <f t="shared" si="655"/>
        <v>#VALUE!</v>
      </c>
      <c r="BJ64" s="37">
        <f t="shared" si="656"/>
        <v>50.976923076923079</v>
      </c>
      <c r="BK64" s="39">
        <v>0.18</v>
      </c>
      <c r="BL64" s="26">
        <f t="shared" si="657"/>
        <v>673.596</v>
      </c>
      <c r="BM64" s="26">
        <f t="shared" si="658"/>
        <v>2510.6323846153846</v>
      </c>
      <c r="BN64" s="26">
        <f t="shared" si="659"/>
        <v>2542.7769230769231</v>
      </c>
      <c r="BO64" s="26">
        <f t="shared" si="660"/>
        <v>383.81538461538463</v>
      </c>
      <c r="BP64" s="37" cm="1">
        <f t="array" ref="BP64">BE64 - _xlfn.IFS(
    _xlfn.XOR(Y64 &lt; 2.5, Y64 = 2.5), 0.5 * AH64,
    _xlfn.XOR(Y64 &lt; 2.5, Y64 = 2.5) = FALSE, 0
)</f>
        <v>3968.8736538461535</v>
      </c>
      <c r="BQ64" s="26">
        <f t="shared" si="661"/>
        <v>18</v>
      </c>
      <c r="BR64" s="37" t="e" vm="1">
        <f>'[1]4 - Flächen'!AI64</f>
        <v>#VALUE!</v>
      </c>
      <c r="BS64" s="26"/>
      <c r="BT64" s="26">
        <f t="shared" si="662"/>
        <v>2095.6320000000005</v>
      </c>
      <c r="BU64" s="26">
        <f t="shared" si="663"/>
        <v>21367.962000000003</v>
      </c>
      <c r="BV64" s="37">
        <f t="shared" si="664"/>
        <v>2734.6846153846154</v>
      </c>
      <c r="BW64" s="37">
        <f t="shared" si="665"/>
        <v>1343.3538461538462</v>
      </c>
      <c r="BX64" s="26"/>
      <c r="BY64" s="26">
        <f t="shared" si="666"/>
        <v>0</v>
      </c>
      <c r="BZ64" s="3"/>
      <c r="CA64" s="40">
        <f t="shared" si="667"/>
        <v>46987.063200000004</v>
      </c>
      <c r="CB64" s="43">
        <v>15</v>
      </c>
      <c r="CC64" s="40">
        <f t="shared" si="668"/>
        <v>56148.000000000007</v>
      </c>
      <c r="CD64" s="41">
        <f t="shared" si="669"/>
        <v>29.545396539293442</v>
      </c>
      <c r="CE64" s="42">
        <f t="shared" si="670"/>
        <v>0.18652881504953078</v>
      </c>
      <c r="CF64" s="40" t="e">
        <f t="shared" si="671"/>
        <v>#DIV/0!</v>
      </c>
      <c r="CG64" s="40">
        <f>0.4113617364*AC64</f>
        <v>1836.9161359956686</v>
      </c>
      <c r="CH64" s="43">
        <v>30</v>
      </c>
      <c r="CI64" s="40">
        <f t="shared" si="672"/>
        <v>112281.00000000001</v>
      </c>
      <c r="CJ64" s="41">
        <f t="shared" si="673"/>
        <v>59.089080749819765</v>
      </c>
      <c r="CK64" s="42">
        <f t="shared" si="674"/>
        <v>0.23494164458408653</v>
      </c>
      <c r="CL64" s="40" t="e">
        <f t="shared" si="675"/>
        <v>#DIV/0!</v>
      </c>
      <c r="CM64" s="119">
        <f>0.5181290775*AC64</f>
        <v>2313.6805851646545</v>
      </c>
      <c r="CN64" s="43">
        <v>70</v>
      </c>
      <c r="CO64" s="40">
        <f t="shared" si="676"/>
        <v>261969.00000000003</v>
      </c>
      <c r="CP64" s="41">
        <f t="shared" si="677"/>
        <v>137.8722386445566</v>
      </c>
      <c r="CQ64" s="42">
        <f t="shared" si="678"/>
        <v>0.29118266747564991</v>
      </c>
      <c r="CR64" s="40" t="e">
        <f t="shared" si="679"/>
        <v>#DIV/0!</v>
      </c>
      <c r="CS64" s="40">
        <f>0.6421603422*AC64</f>
        <v>2867.5362584930981</v>
      </c>
      <c r="CT64" s="44">
        <v>3.05</v>
      </c>
      <c r="CU64" s="3"/>
      <c r="CV64" s="40">
        <f t="shared" si="680"/>
        <v>46987.063200000004</v>
      </c>
      <c r="CW64" s="40">
        <v>15</v>
      </c>
      <c r="CX64" s="40">
        <f t="shared" si="681"/>
        <v>56148.000000000007</v>
      </c>
      <c r="CY64" s="41">
        <f t="shared" si="682"/>
        <v>29.545396539293442</v>
      </c>
      <c r="CZ64" s="42">
        <f t="shared" si="683"/>
        <v>2.1089927625197076</v>
      </c>
      <c r="DA64" s="40" t="e">
        <f t="shared" si="684"/>
        <v>#DIV/0!</v>
      </c>
      <c r="DB64" s="21">
        <f>4.6510718712*AC64</f>
        <v>20769.13872605592</v>
      </c>
      <c r="DC64" s="43">
        <v>30</v>
      </c>
      <c r="DD64" s="40">
        <f t="shared" si="685"/>
        <v>112281.00000000001</v>
      </c>
      <c r="DE64" s="41">
        <f t="shared" si="686"/>
        <v>59.089080749819765</v>
      </c>
      <c r="DF64" s="42">
        <f t="shared" si="687"/>
        <v>2.1674542307692306</v>
      </c>
      <c r="DG64" s="40" t="e">
        <f t="shared" si="688"/>
        <v>#DIV/0!</v>
      </c>
      <c r="DH64" s="40">
        <f>4.78*AC64</f>
        <v>21344.861111538463</v>
      </c>
      <c r="DI64" s="43">
        <v>70</v>
      </c>
      <c r="DJ64" s="40">
        <f t="shared" si="689"/>
        <v>261969.00000000003</v>
      </c>
      <c r="DK64" s="41">
        <f t="shared" si="690"/>
        <v>137.8722386445566</v>
      </c>
      <c r="DL64" s="42">
        <f t="shared" si="691"/>
        <v>2.2575997155037903</v>
      </c>
      <c r="DM64" s="40" t="e">
        <f t="shared" si="692"/>
        <v>#DIV/0!</v>
      </c>
      <c r="DN64" s="40">
        <f>4.9788025449*AC64</f>
        <v>22232.604356206011</v>
      </c>
      <c r="DO64" s="44">
        <v>3.9</v>
      </c>
      <c r="DP64" s="7"/>
      <c r="DQ64" s="40">
        <f t="shared" si="693"/>
        <v>46987.063200000004</v>
      </c>
      <c r="DR64" s="40">
        <v>15</v>
      </c>
      <c r="DS64" s="40">
        <f t="shared" si="694"/>
        <v>56148.000000000007</v>
      </c>
      <c r="DT64" s="41">
        <f t="shared" si="695"/>
        <v>29.545396539293442</v>
      </c>
      <c r="DU64" s="42">
        <f t="shared" si="696"/>
        <v>0.10069789053063778</v>
      </c>
      <c r="DV64" s="40">
        <f t="shared" si="697"/>
        <v>32.828218376992716</v>
      </c>
      <c r="DW64" s="40">
        <f>0.4198419913*AC64</f>
        <v>1874.7843081778742</v>
      </c>
      <c r="DX64" s="43">
        <v>30</v>
      </c>
      <c r="DY64" s="40">
        <f t="shared" si="698"/>
        <v>112281.00000000001</v>
      </c>
      <c r="DZ64" s="41">
        <f t="shared" si="699"/>
        <v>59.089080749819765</v>
      </c>
      <c r="EA64" s="42">
        <f t="shared" si="700"/>
        <v>0.16838751129497051</v>
      </c>
      <c r="EB64" s="40">
        <f t="shared" si="701"/>
        <v>65.654534166466405</v>
      </c>
      <c r="EC64" s="40">
        <f>0.7020618573*AC64</f>
        <v>3135.0236058111373</v>
      </c>
      <c r="ED64" s="43">
        <v>70</v>
      </c>
      <c r="EE64" s="40">
        <f t="shared" si="702"/>
        <v>261969.00000000003</v>
      </c>
      <c r="EF64" s="41">
        <f t="shared" si="703"/>
        <v>137.8722386445566</v>
      </c>
      <c r="EG64" s="42">
        <f t="shared" si="704"/>
        <v>0.1861493124098694</v>
      </c>
      <c r="EH64" s="40">
        <f t="shared" si="705"/>
        <v>153.19137627172955</v>
      </c>
      <c r="EI64" s="40">
        <f>0.7761165362*AC64</f>
        <v>3465.7112283592705</v>
      </c>
      <c r="EJ64" s="44">
        <v>3.9</v>
      </c>
    </row>
    <row r="65" spans="1:140">
      <c r="A65" s="18" t="str">
        <f t="shared" si="0"/>
        <v>ZgWe</v>
      </c>
      <c r="B65" s="19">
        <v>39</v>
      </c>
      <c r="C65" s="18" t="s">
        <v>88</v>
      </c>
      <c r="D65" s="18" t="s">
        <v>76</v>
      </c>
      <c r="E65" s="18" t="s">
        <v>80</v>
      </c>
      <c r="F65" s="3"/>
      <c r="G65" s="21">
        <v>10000</v>
      </c>
      <c r="H65" s="45">
        <v>8493</v>
      </c>
      <c r="I65" s="45">
        <v>764</v>
      </c>
      <c r="J65" s="45">
        <v>423</v>
      </c>
      <c r="K65" s="45">
        <v>320</v>
      </c>
      <c r="L65" s="21">
        <f>1039.5+(418.5*2)</f>
        <v>1876.5</v>
      </c>
      <c r="M65" s="179"/>
      <c r="N65" s="46">
        <f t="shared" si="629"/>
        <v>0.18765000000000001</v>
      </c>
      <c r="O65" s="21">
        <f t="shared" si="630"/>
        <v>1732.1538461538462</v>
      </c>
      <c r="P65" s="21">
        <f t="shared" si="631"/>
        <v>1385.7230769230771</v>
      </c>
      <c r="Q65" s="21">
        <f t="shared" si="706"/>
        <v>692.86153846153854</v>
      </c>
      <c r="R65" s="21">
        <f t="shared" si="632"/>
        <v>554.28923076923081</v>
      </c>
      <c r="S65" s="21">
        <f t="shared" si="4"/>
        <v>2078.5846153846155</v>
      </c>
      <c r="T65" s="3"/>
      <c r="U65" s="26">
        <f t="shared" si="633"/>
        <v>1876.5</v>
      </c>
      <c r="V65" s="27">
        <f t="shared" si="634"/>
        <v>0.18765000000000001</v>
      </c>
      <c r="W65" s="108">
        <f t="shared" si="635"/>
        <v>0.56294999999999995</v>
      </c>
      <c r="X65" s="28"/>
      <c r="Y65" s="29">
        <v>3</v>
      </c>
      <c r="Z65" s="26">
        <f t="shared" si="636"/>
        <v>5629.5</v>
      </c>
      <c r="AA65" s="26">
        <f t="shared" si="637"/>
        <v>4503.6000000000004</v>
      </c>
      <c r="AB65" s="26">
        <f t="shared" si="638"/>
        <v>6322.3615384615387</v>
      </c>
      <c r="AC65" s="26">
        <f t="shared" si="639"/>
        <v>5374.0073076923081</v>
      </c>
      <c r="AD65" s="26">
        <f t="shared" si="640"/>
        <v>4503.6000000000004</v>
      </c>
      <c r="AE65" s="26">
        <f t="shared" si="641"/>
        <v>144.34615384615387</v>
      </c>
      <c r="AF65" s="26">
        <f t="shared" si="642"/>
        <v>4359.2538461538461</v>
      </c>
      <c r="AG65" s="3"/>
      <c r="AH65" s="26">
        <f t="shared" si="14"/>
        <v>1876.5</v>
      </c>
      <c r="AI65" s="26">
        <f t="shared" si="643"/>
        <v>1876.5</v>
      </c>
      <c r="AJ65" s="26">
        <f>(1629*1)+(801*2)</f>
        <v>3231</v>
      </c>
      <c r="AK65" s="26">
        <f t="shared" si="644"/>
        <v>6984</v>
      </c>
      <c r="AL65" s="26">
        <f>(9355.5*1)+(3766.5*2)</f>
        <v>16888.5</v>
      </c>
      <c r="AM65" s="31">
        <f t="shared" si="645"/>
        <v>0.41353583799626964</v>
      </c>
      <c r="AN65" s="32"/>
      <c r="AO65" s="21">
        <v>90</v>
      </c>
      <c r="AP65" s="33">
        <f>13.5*3</f>
        <v>40.5</v>
      </c>
      <c r="AQ65" s="26">
        <f t="shared" si="646"/>
        <v>130.5</v>
      </c>
      <c r="AR65" s="3"/>
      <c r="AS65" s="26">
        <v>3</v>
      </c>
      <c r="AT65" s="3"/>
      <c r="AU65" s="26">
        <v>41</v>
      </c>
      <c r="AV65" s="26">
        <v>78</v>
      </c>
      <c r="AW65" s="26">
        <v>121</v>
      </c>
      <c r="AX65" s="35">
        <f t="shared" si="647"/>
        <v>109.8439024390244</v>
      </c>
      <c r="AY65" s="35">
        <f t="shared" si="648"/>
        <v>57.738461538461543</v>
      </c>
      <c r="AZ65" s="35">
        <f t="shared" si="649"/>
        <v>17.083333333333332</v>
      </c>
      <c r="BA65" s="35">
        <f t="shared" si="650"/>
        <v>32.5</v>
      </c>
      <c r="BB65" s="3"/>
      <c r="BC65" s="37" t="s">
        <v>89</v>
      </c>
      <c r="BD65" s="26">
        <f t="shared" si="651"/>
        <v>1876.5</v>
      </c>
      <c r="BE65" s="37">
        <f t="shared" si="652"/>
        <v>4783.7180769230772</v>
      </c>
      <c r="BF65" s="37" t="e" vm="1">
        <f>'[1]4 - Flächen'!AJ65</f>
        <v>#VALUE!</v>
      </c>
      <c r="BG65" s="26" t="e" vm="2">
        <f t="shared" si="653"/>
        <v>#VALUE!</v>
      </c>
      <c r="BH65" s="26">
        <f t="shared" si="654"/>
        <v>692.86153846153854</v>
      </c>
      <c r="BI65" s="37" t="e" vm="2">
        <f t="shared" si="655"/>
        <v>#VALUE!</v>
      </c>
      <c r="BJ65" s="37">
        <f t="shared" si="656"/>
        <v>63.738461538461543</v>
      </c>
      <c r="BK65" s="39">
        <v>0.18</v>
      </c>
      <c r="BL65" s="26">
        <f t="shared" si="657"/>
        <v>810.64800000000002</v>
      </c>
      <c r="BM65" s="26">
        <f t="shared" si="658"/>
        <v>3021.4536923076926</v>
      </c>
      <c r="BN65" s="26">
        <f t="shared" si="659"/>
        <v>3060.1384615384618</v>
      </c>
      <c r="BO65" s="26">
        <f t="shared" si="660"/>
        <v>461.90769230769234</v>
      </c>
      <c r="BP65" s="37" cm="1">
        <f t="array" ref="BP65">BE65 - _xlfn.IFS(
    _xlfn.XOR(Y65 &lt; 2.5, Y65 = 2.5), 0.5 * AH65,
    _xlfn.XOR(Y65 &lt; 2.5, Y65 = 2.5) = FALSE, 0
)</f>
        <v>4783.7180769230772</v>
      </c>
      <c r="BQ65" s="26">
        <f>6*(Y65)</f>
        <v>18</v>
      </c>
      <c r="BR65" s="37" t="e" vm="1">
        <f>'[1]4 - Flächen'!AI65</f>
        <v>#VALUE!</v>
      </c>
      <c r="BS65" s="26"/>
      <c r="BT65" s="26">
        <f t="shared" si="662"/>
        <v>2522.0160000000005</v>
      </c>
      <c r="BU65" s="26">
        <f t="shared" si="663"/>
        <v>25715.556</v>
      </c>
      <c r="BV65" s="37">
        <f t="shared" si="664"/>
        <v>3291.0923076923082</v>
      </c>
      <c r="BW65" s="37">
        <f t="shared" si="665"/>
        <v>1616.6769230769232</v>
      </c>
      <c r="BX65" s="26"/>
      <c r="BY65" s="26">
        <f t="shared" si="666"/>
        <v>0</v>
      </c>
      <c r="BZ65" s="3"/>
      <c r="CA65" s="40">
        <f t="shared" si="667"/>
        <v>56547.2016</v>
      </c>
      <c r="CB65" s="43">
        <v>15</v>
      </c>
      <c r="CC65" s="40">
        <f t="shared" si="668"/>
        <v>67569</v>
      </c>
      <c r="CD65" s="41">
        <f t="shared" si="669"/>
        <v>35.556449170872391</v>
      </c>
      <c r="CE65" s="42">
        <f t="shared" si="670"/>
        <v>0.18960792397272885</v>
      </c>
      <c r="CF65" s="40" t="e">
        <f t="shared" si="671"/>
        <v>#DIV/0!</v>
      </c>
      <c r="CG65" s="40">
        <f>0.4181522561*AC65</f>
        <v>2247.1532800094255</v>
      </c>
      <c r="CH65" s="43">
        <v>30</v>
      </c>
      <c r="CI65" s="40">
        <f t="shared" si="672"/>
        <v>135123</v>
      </c>
      <c r="CJ65" s="41">
        <f t="shared" si="673"/>
        <v>71.111186012977655</v>
      </c>
      <c r="CK65" s="42">
        <f t="shared" si="674"/>
        <v>0.20497537008389424</v>
      </c>
      <c r="CL65" s="40" t="e">
        <f t="shared" si="675"/>
        <v>#DIV/0!</v>
      </c>
      <c r="CM65" s="119">
        <f>0.4520428875*AC65</f>
        <v>2429.2817808153318</v>
      </c>
      <c r="CN65" s="43">
        <v>70</v>
      </c>
      <c r="CO65" s="40">
        <f t="shared" si="676"/>
        <v>315267</v>
      </c>
      <c r="CP65" s="41">
        <f t="shared" si="677"/>
        <v>165.92381759192503</v>
      </c>
      <c r="CQ65" s="42">
        <f t="shared" si="678"/>
        <v>0.28626993267493073</v>
      </c>
      <c r="CR65" s="40" t="e">
        <f t="shared" si="679"/>
        <v>#DIV/0!</v>
      </c>
      <c r="CS65" s="40">
        <f>0.6313260316*AC65</f>
        <v>3392.7507073547849</v>
      </c>
      <c r="CT65" s="44">
        <v>3.05</v>
      </c>
      <c r="CU65" s="3"/>
      <c r="CV65" s="40">
        <f t="shared" si="680"/>
        <v>56547.2016</v>
      </c>
      <c r="CW65" s="40">
        <v>15</v>
      </c>
      <c r="CX65" s="40">
        <f t="shared" si="681"/>
        <v>67569</v>
      </c>
      <c r="CY65" s="41">
        <f t="shared" si="682"/>
        <v>35.556449170872391</v>
      </c>
      <c r="CZ65" s="42">
        <f t="shared" si="683"/>
        <v>2.1089298196941906</v>
      </c>
      <c r="DA65" s="40" t="e">
        <f t="shared" si="684"/>
        <v>#DIV/0!</v>
      </c>
      <c r="DB65" s="21">
        <f>4.6509330601*AC65</f>
        <v>24994.148252565148</v>
      </c>
      <c r="DC65" s="43">
        <v>30</v>
      </c>
      <c r="DD65" s="40">
        <f t="shared" si="685"/>
        <v>135123</v>
      </c>
      <c r="DE65" s="41">
        <f t="shared" si="686"/>
        <v>71.111186012977655</v>
      </c>
      <c r="DF65" s="42">
        <f t="shared" si="687"/>
        <v>2.1357132692307692</v>
      </c>
      <c r="DG65" s="40" t="e">
        <f t="shared" si="688"/>
        <v>#DIV/0!</v>
      </c>
      <c r="DH65" s="40">
        <f>4.71*AC65</f>
        <v>25311.574419230772</v>
      </c>
      <c r="DI65" s="43">
        <v>70</v>
      </c>
      <c r="DJ65" s="40">
        <f t="shared" si="689"/>
        <v>315267</v>
      </c>
      <c r="DK65" s="41">
        <f t="shared" si="690"/>
        <v>165.92381759192503</v>
      </c>
      <c r="DL65" s="42">
        <f t="shared" si="691"/>
        <v>2.2472635307477904</v>
      </c>
      <c r="DM65" s="40" t="e">
        <f t="shared" si="692"/>
        <v>#DIV/0!</v>
      </c>
      <c r="DN65" s="40">
        <f>4.9560076169*AC65</f>
        <v>26633.621150199342</v>
      </c>
      <c r="DO65" s="44">
        <v>3.9</v>
      </c>
      <c r="DP65" s="7"/>
      <c r="DQ65" s="40">
        <f t="shared" si="693"/>
        <v>56547.2016</v>
      </c>
      <c r="DR65" s="40">
        <v>15</v>
      </c>
      <c r="DS65" s="40">
        <f t="shared" si="694"/>
        <v>67569</v>
      </c>
      <c r="DT65" s="41">
        <f t="shared" si="695"/>
        <v>35.556449170872391</v>
      </c>
      <c r="DU65" s="42">
        <f t="shared" si="696"/>
        <v>0.10333186675159989</v>
      </c>
      <c r="DV65" s="40">
        <f t="shared" si="697"/>
        <v>39.507165745413765</v>
      </c>
      <c r="DW65" s="40">
        <f>0.4308238879*AC65</f>
        <v>2315.2507219030117</v>
      </c>
      <c r="DX65" s="43">
        <v>30</v>
      </c>
      <c r="DY65" s="40">
        <f t="shared" si="698"/>
        <v>135123</v>
      </c>
      <c r="DZ65" s="41">
        <f t="shared" si="699"/>
        <v>71.111186012977655</v>
      </c>
      <c r="EA65" s="42">
        <f t="shared" si="700"/>
        <v>0.11155980280913047</v>
      </c>
      <c r="EB65" s="40">
        <f t="shared" si="701"/>
        <v>79.012428903308503</v>
      </c>
      <c r="EC65" s="40">
        <f>0.4651288077*AC65</f>
        <v>2499.60561159801</v>
      </c>
      <c r="ED65" s="43">
        <v>70</v>
      </c>
      <c r="EE65" s="40">
        <f t="shared" si="702"/>
        <v>315267</v>
      </c>
      <c r="EF65" s="41">
        <f t="shared" si="703"/>
        <v>165.92381759192503</v>
      </c>
      <c r="EG65" s="42">
        <f t="shared" si="704"/>
        <v>0.18240047319076932</v>
      </c>
      <c r="EH65" s="40">
        <f t="shared" si="705"/>
        <v>184.35979732436115</v>
      </c>
      <c r="EI65" s="40">
        <f>0.7604864161*AC65</f>
        <v>4086.8595575221334</v>
      </c>
      <c r="EJ65" s="44">
        <v>3.9</v>
      </c>
    </row>
    <row r="66" spans="1:140">
      <c r="A66" s="48" t="str">
        <f t="shared" si="0"/>
        <v>ZmKr</v>
      </c>
      <c r="B66" s="49">
        <v>40</v>
      </c>
      <c r="C66" s="48" t="s">
        <v>88</v>
      </c>
      <c r="D66" s="48" t="s">
        <v>81</v>
      </c>
      <c r="E66" s="48" t="s">
        <v>77</v>
      </c>
      <c r="F66" s="3"/>
      <c r="G66" s="50">
        <v>10000</v>
      </c>
      <c r="H66" s="51">
        <v>7225</v>
      </c>
      <c r="I66" s="51">
        <v>1164</v>
      </c>
      <c r="J66" s="51">
        <v>931</v>
      </c>
      <c r="K66" s="51">
        <v>680</v>
      </c>
      <c r="L66" s="51">
        <f>1039.5*2+418.5*2</f>
        <v>2916</v>
      </c>
      <c r="M66" s="121"/>
      <c r="N66" s="53">
        <f t="shared" si="629"/>
        <v>0.29160000000000003</v>
      </c>
      <c r="O66" s="52">
        <f t="shared" si="630"/>
        <v>3588.9230769230776</v>
      </c>
      <c r="P66" s="52">
        <f t="shared" si="631"/>
        <v>2871.1384615384623</v>
      </c>
      <c r="Q66" s="52">
        <f t="shared" si="706"/>
        <v>1435.5692307692309</v>
      </c>
      <c r="R66" s="52">
        <f t="shared" si="632"/>
        <v>1148.4553846153847</v>
      </c>
      <c r="S66" s="52">
        <f t="shared" si="4"/>
        <v>4306.7076923076929</v>
      </c>
      <c r="T66" s="3"/>
      <c r="U66" s="58">
        <f t="shared" si="633"/>
        <v>2916</v>
      </c>
      <c r="V66" s="56">
        <f t="shared" si="634"/>
        <v>0.29160000000000003</v>
      </c>
      <c r="W66" s="110">
        <f t="shared" si="635"/>
        <v>1.1664000000000001</v>
      </c>
      <c r="X66" s="32"/>
      <c r="Y66" s="57">
        <v>4</v>
      </c>
      <c r="Z66" s="58">
        <f t="shared" si="636"/>
        <v>11664</v>
      </c>
      <c r="AA66" s="58">
        <f t="shared" si="637"/>
        <v>9331.2000000000007</v>
      </c>
      <c r="AB66" s="58">
        <f t="shared" si="638"/>
        <v>13099.569230769232</v>
      </c>
      <c r="AC66" s="58">
        <f t="shared" si="639"/>
        <v>11134.633846153847</v>
      </c>
      <c r="AD66" s="58">
        <f t="shared" si="640"/>
        <v>9331.2000000000007</v>
      </c>
      <c r="AE66" s="58">
        <f t="shared" si="641"/>
        <v>299.07692307692309</v>
      </c>
      <c r="AF66" s="58">
        <f t="shared" si="642"/>
        <v>9032.123076923077</v>
      </c>
      <c r="AG66" s="3"/>
      <c r="AH66" s="58">
        <f t="shared" si="14"/>
        <v>2916</v>
      </c>
      <c r="AI66" s="55">
        <f t="shared" si="643"/>
        <v>2916</v>
      </c>
      <c r="AJ66" s="51">
        <f>(2174*2)+(1068*2)</f>
        <v>6484</v>
      </c>
      <c r="AK66" s="58">
        <f t="shared" si="644"/>
        <v>12316</v>
      </c>
      <c r="AL66" s="51">
        <f>(12474*2)+(5022*2)</f>
        <v>34992</v>
      </c>
      <c r="AM66" s="59">
        <f t="shared" si="645"/>
        <v>0.35196616369455874</v>
      </c>
      <c r="AN66" s="32"/>
      <c r="AO66" s="50">
        <v>200</v>
      </c>
      <c r="AP66" s="115">
        <f>13.5*4</f>
        <v>54</v>
      </c>
      <c r="AQ66" s="55">
        <f t="shared" si="646"/>
        <v>254</v>
      </c>
      <c r="AR66" s="3"/>
      <c r="AS66" s="55">
        <v>4</v>
      </c>
      <c r="AT66" s="3"/>
      <c r="AU66" s="58">
        <v>41</v>
      </c>
      <c r="AV66" s="58">
        <v>78</v>
      </c>
      <c r="AW66" s="58">
        <v>121</v>
      </c>
      <c r="AX66" s="62">
        <f t="shared" si="647"/>
        <v>227.59024390243906</v>
      </c>
      <c r="AY66" s="62">
        <f t="shared" si="648"/>
        <v>119.63076923076925</v>
      </c>
      <c r="AZ66" s="62">
        <f t="shared" si="649"/>
        <v>12.812499999999998</v>
      </c>
      <c r="BA66" s="62">
        <f t="shared" si="650"/>
        <v>24.374999999999996</v>
      </c>
      <c r="BB66" s="3"/>
      <c r="BC66" s="58" t="s">
        <v>89</v>
      </c>
      <c r="BD66" s="58">
        <f t="shared" si="651"/>
        <v>2916</v>
      </c>
      <c r="BE66" s="58">
        <f t="shared" si="652"/>
        <v>9942.1784615384622</v>
      </c>
      <c r="BF66" s="58" t="e" vm="1">
        <f>'[1]4 - Flächen'!AJ66</f>
        <v>#VALUE!</v>
      </c>
      <c r="BG66" s="58" t="e" vm="2">
        <f t="shared" si="653"/>
        <v>#VALUE!</v>
      </c>
      <c r="BH66" s="58">
        <f t="shared" si="654"/>
        <v>1435.5692307692309</v>
      </c>
      <c r="BI66" s="58" t="e" vm="2">
        <f t="shared" si="655"/>
        <v>#VALUE!</v>
      </c>
      <c r="BJ66" s="58">
        <f t="shared" si="656"/>
        <v>127.63076923076925</v>
      </c>
      <c r="BK66" s="64">
        <v>0.18</v>
      </c>
      <c r="BL66" s="58">
        <f t="shared" si="657"/>
        <v>1679.616</v>
      </c>
      <c r="BM66" s="58">
        <f t="shared" si="658"/>
        <v>6260.2781538461541</v>
      </c>
      <c r="BN66" s="58">
        <f t="shared" si="659"/>
        <v>6340.4307692307702</v>
      </c>
      <c r="BO66" s="58">
        <f t="shared" si="660"/>
        <v>957.04615384615397</v>
      </c>
      <c r="BP66" s="58" cm="1">
        <f t="array" ref="BP66">BE66 - _xlfn.IFS(
    _xlfn.XOR(Y66 &lt; 2.5, Y66 = 2.5), 0.5 * AH66,
    _xlfn.XOR(Y66 &lt; 2.5, Y66 = 2.5) = FALSE, 0
)</f>
        <v>9942.1784615384622</v>
      </c>
      <c r="BQ66" s="58">
        <f>38-(BY66*(Y66))</f>
        <v>22</v>
      </c>
      <c r="BR66" s="58" t="e" vm="1">
        <f>'[1]4 - Flächen'!AI66</f>
        <v>#VALUE!</v>
      </c>
      <c r="BS66" s="26"/>
      <c r="BT66" s="58">
        <f t="shared" si="662"/>
        <v>5225.4720000000007</v>
      </c>
      <c r="BU66" s="58">
        <f t="shared" si="663"/>
        <v>53281.152000000002</v>
      </c>
      <c r="BV66" s="58">
        <f t="shared" si="664"/>
        <v>6818.9538461538468</v>
      </c>
      <c r="BW66" s="58">
        <f t="shared" si="665"/>
        <v>3349.6615384615388</v>
      </c>
      <c r="BX66" s="58"/>
      <c r="BY66" s="58">
        <f t="shared" si="666"/>
        <v>4</v>
      </c>
      <c r="BZ66" s="3"/>
      <c r="CA66" s="65">
        <f t="shared" si="667"/>
        <v>117162.5472</v>
      </c>
      <c r="CB66" s="68">
        <v>15</v>
      </c>
      <c r="CC66" s="65">
        <f t="shared" si="668"/>
        <v>139983</v>
      </c>
      <c r="CD66" s="66">
        <f t="shared" si="669"/>
        <v>73.669080749819756</v>
      </c>
      <c r="CE66" s="67">
        <f t="shared" si="670"/>
        <v>0.18800627582435001</v>
      </c>
      <c r="CF66" s="65" t="e">
        <f t="shared" si="671"/>
        <v>#DIV/0!</v>
      </c>
      <c r="CG66" s="65">
        <f>0.4146200578*AC66</f>
        <v>4616.6425288741448</v>
      </c>
      <c r="CH66" s="68">
        <v>30</v>
      </c>
      <c r="CI66" s="65">
        <f t="shared" si="672"/>
        <v>279951</v>
      </c>
      <c r="CJ66" s="66">
        <f t="shared" si="673"/>
        <v>147.33644917087238</v>
      </c>
      <c r="CK66" s="67">
        <f t="shared" si="674"/>
        <v>0.22570146425670576</v>
      </c>
      <c r="CL66" s="65" t="e">
        <f t="shared" si="675"/>
        <v>#DIV/0!</v>
      </c>
      <c r="CM66" s="122">
        <f>0.4977512253*AC66</f>
        <v>5542.2776401899291</v>
      </c>
      <c r="CN66" s="68">
        <v>70</v>
      </c>
      <c r="CO66" s="65">
        <f t="shared" si="676"/>
        <v>653199</v>
      </c>
      <c r="CP66" s="66">
        <f t="shared" si="677"/>
        <v>343.78276496034607</v>
      </c>
      <c r="CQ66" s="67">
        <f t="shared" si="678"/>
        <v>0.28750493793851539</v>
      </c>
      <c r="CR66" s="65" t="e">
        <f t="shared" si="679"/>
        <v>#DIV/0!</v>
      </c>
      <c r="CS66" s="65">
        <f>0.6340496532*AC66</f>
        <v>7059.9107286628287</v>
      </c>
      <c r="CT66" s="69">
        <v>3.05</v>
      </c>
      <c r="CU66" s="3"/>
      <c r="CV66" s="65">
        <f t="shared" si="680"/>
        <v>117162.5472</v>
      </c>
      <c r="CW66" s="65">
        <v>15</v>
      </c>
      <c r="CX66" s="65">
        <f t="shared" si="681"/>
        <v>139983</v>
      </c>
      <c r="CY66" s="66">
        <f t="shared" si="682"/>
        <v>73.669080749819756</v>
      </c>
      <c r="CZ66" s="67">
        <f t="shared" si="683"/>
        <v>1.7276379396038115</v>
      </c>
      <c r="DA66" s="65" t="e">
        <f t="shared" si="684"/>
        <v>#DIV/0!</v>
      </c>
      <c r="DB66" s="50">
        <f>3.8100501658*AC66</f>
        <v>42423.513531660756</v>
      </c>
      <c r="DC66" s="68">
        <v>30</v>
      </c>
      <c r="DD66" s="65">
        <f t="shared" si="685"/>
        <v>279951</v>
      </c>
      <c r="DE66" s="66">
        <f t="shared" si="686"/>
        <v>147.33644917087238</v>
      </c>
      <c r="DF66" s="67">
        <f t="shared" si="687"/>
        <v>1.7774938461538463</v>
      </c>
      <c r="DG66" s="65" t="e">
        <f t="shared" si="688"/>
        <v>#DIV/0!</v>
      </c>
      <c r="DH66" s="65">
        <f>3.92*AC66</f>
        <v>43647.764676923078</v>
      </c>
      <c r="DI66" s="68">
        <v>70</v>
      </c>
      <c r="DJ66" s="65">
        <f t="shared" si="689"/>
        <v>653199</v>
      </c>
      <c r="DK66" s="66">
        <f t="shared" si="690"/>
        <v>343.78276496034607</v>
      </c>
      <c r="DL66" s="67">
        <f t="shared" si="691"/>
        <v>1.8734902552812698</v>
      </c>
      <c r="DM66" s="65" t="e">
        <f t="shared" si="692"/>
        <v>#DIV/0!</v>
      </c>
      <c r="DN66" s="65">
        <f>4.131705894*AC66</f>
        <v>46005.032289685747</v>
      </c>
      <c r="DO66" s="69">
        <v>3.9</v>
      </c>
      <c r="DP66" s="7"/>
      <c r="DQ66" s="65">
        <f t="shared" si="693"/>
        <v>117162.5472</v>
      </c>
      <c r="DR66" s="65">
        <v>15</v>
      </c>
      <c r="DS66" s="65">
        <f t="shared" si="694"/>
        <v>139983</v>
      </c>
      <c r="DT66" s="66">
        <f t="shared" si="695"/>
        <v>73.669080749819756</v>
      </c>
      <c r="DU66" s="67">
        <f t="shared" si="696"/>
        <v>0.10406413414584893</v>
      </c>
      <c r="DV66" s="65">
        <f t="shared" si="697"/>
        <v>81.854534166466394</v>
      </c>
      <c r="DW66" s="65">
        <f>0.4338769469*AC66</f>
        <v>4831.0609380186352</v>
      </c>
      <c r="DX66" s="68">
        <v>30</v>
      </c>
      <c r="DY66" s="65">
        <f t="shared" si="698"/>
        <v>279951</v>
      </c>
      <c r="DZ66" s="66">
        <f t="shared" si="699"/>
        <v>147.33644917087238</v>
      </c>
      <c r="EA66" s="67">
        <f t="shared" si="700"/>
        <v>0.15473211897128594</v>
      </c>
      <c r="EB66" s="65">
        <f t="shared" si="701"/>
        <v>163.70716574541376</v>
      </c>
      <c r="EC66" s="65">
        <f>0.6451281214*AC66</f>
        <v>7183.2654156460876</v>
      </c>
      <c r="ED66" s="68">
        <v>70</v>
      </c>
      <c r="EE66" s="65">
        <f t="shared" si="702"/>
        <v>653199</v>
      </c>
      <c r="EF66" s="66">
        <f t="shared" si="703"/>
        <v>343.78276496034607</v>
      </c>
      <c r="EG66" s="67">
        <f t="shared" si="704"/>
        <v>0.17641020566674065</v>
      </c>
      <c r="EH66" s="65">
        <f t="shared" si="705"/>
        <v>381.98084995594007</v>
      </c>
      <c r="EI66" s="65">
        <f>0.7355110583*AC66</f>
        <v>8189.646323967615</v>
      </c>
      <c r="EJ66" s="69">
        <v>3.9</v>
      </c>
    </row>
    <row r="67" spans="1:140">
      <c r="A67" s="48" t="str">
        <f t="shared" si="0"/>
        <v>ZmKu</v>
      </c>
      <c r="B67" s="49">
        <v>41</v>
      </c>
      <c r="C67" s="48" t="s">
        <v>88</v>
      </c>
      <c r="D67" s="48" t="s">
        <v>81</v>
      </c>
      <c r="E67" s="48" t="s">
        <v>79</v>
      </c>
      <c r="F67" s="3"/>
      <c r="G67" s="50">
        <v>10000</v>
      </c>
      <c r="H67" s="51">
        <v>8500</v>
      </c>
      <c r="I67" s="51">
        <v>600</v>
      </c>
      <c r="J67" s="51">
        <v>560</v>
      </c>
      <c r="K67" s="51">
        <v>340</v>
      </c>
      <c r="L67" s="51">
        <f>1039.5*1.5+(418.5*0.5)</f>
        <v>1768.5</v>
      </c>
      <c r="M67" s="177"/>
      <c r="N67" s="53">
        <f t="shared" si="629"/>
        <v>0.17685000000000001</v>
      </c>
      <c r="O67" s="52">
        <f t="shared" si="630"/>
        <v>2176.6153846153848</v>
      </c>
      <c r="P67" s="52">
        <f t="shared" si="631"/>
        <v>1741.292307692308</v>
      </c>
      <c r="Q67" s="52">
        <f t="shared" si="706"/>
        <v>870.64615384615399</v>
      </c>
      <c r="R67" s="52">
        <f t="shared" si="632"/>
        <v>696.51692307692326</v>
      </c>
      <c r="S67" s="52">
        <f t="shared" si="4"/>
        <v>2611.938461538462</v>
      </c>
      <c r="T67" s="3"/>
      <c r="U67" s="58">
        <f t="shared" si="633"/>
        <v>1768.5</v>
      </c>
      <c r="V67" s="56">
        <f t="shared" si="634"/>
        <v>0.17685000000000001</v>
      </c>
      <c r="W67" s="110">
        <f t="shared" si="635"/>
        <v>0.70740000000000003</v>
      </c>
      <c r="X67" s="32"/>
      <c r="Y67" s="57">
        <v>4</v>
      </c>
      <c r="Z67" s="58">
        <f t="shared" si="636"/>
        <v>7074</v>
      </c>
      <c r="AA67" s="58">
        <f t="shared" si="637"/>
        <v>5659.2000000000007</v>
      </c>
      <c r="AB67" s="58">
        <f t="shared" si="638"/>
        <v>7944.6461538461535</v>
      </c>
      <c r="AC67" s="58">
        <f t="shared" si="639"/>
        <v>6752.9492307692308</v>
      </c>
      <c r="AD67" s="58">
        <f t="shared" si="640"/>
        <v>5659.2000000000007</v>
      </c>
      <c r="AE67" s="58">
        <f t="shared" si="641"/>
        <v>181.38461538461542</v>
      </c>
      <c r="AF67" s="58">
        <f t="shared" si="642"/>
        <v>5477.8153846153855</v>
      </c>
      <c r="AG67" s="3"/>
      <c r="AH67" s="58">
        <f t="shared" si="14"/>
        <v>1768.5</v>
      </c>
      <c r="AI67" s="55">
        <f t="shared" si="643"/>
        <v>1768.5</v>
      </c>
      <c r="AJ67" s="51">
        <f>(2174*1.5)+(1068*0.5)</f>
        <v>3795</v>
      </c>
      <c r="AK67" s="58">
        <f t="shared" si="644"/>
        <v>7332</v>
      </c>
      <c r="AL67" s="51">
        <f>(12474*1.5)+(5022*0.5)</f>
        <v>21222</v>
      </c>
      <c r="AM67" s="59">
        <f t="shared" si="645"/>
        <v>0.34549052869663555</v>
      </c>
      <c r="AN67" s="32"/>
      <c r="AO67" s="50">
        <v>100</v>
      </c>
      <c r="AP67" s="115">
        <f>13.5*2</f>
        <v>27</v>
      </c>
      <c r="AQ67" s="55">
        <f t="shared" si="646"/>
        <v>127</v>
      </c>
      <c r="AR67" s="3"/>
      <c r="AS67" s="55">
        <v>2</v>
      </c>
      <c r="AT67" s="3"/>
      <c r="AU67" s="58">
        <v>41</v>
      </c>
      <c r="AV67" s="58">
        <v>78</v>
      </c>
      <c r="AW67" s="58">
        <v>121</v>
      </c>
      <c r="AX67" s="62">
        <f t="shared" si="647"/>
        <v>138.02926829268296</v>
      </c>
      <c r="AY67" s="62">
        <f t="shared" si="648"/>
        <v>72.553846153846166</v>
      </c>
      <c r="AZ67" s="62">
        <f t="shared" si="649"/>
        <v>12.812499999999996</v>
      </c>
      <c r="BA67" s="62">
        <f t="shared" si="650"/>
        <v>24.374999999999996</v>
      </c>
      <c r="BB67" s="3"/>
      <c r="BC67" s="58" t="s">
        <v>89</v>
      </c>
      <c r="BD67" s="58">
        <f t="shared" si="651"/>
        <v>1768.5</v>
      </c>
      <c r="BE67" s="58">
        <f t="shared" si="652"/>
        <v>6030.4323076923074</v>
      </c>
      <c r="BF67" s="58" t="e" vm="1">
        <f>'[1]4 - Flächen'!AJ67</f>
        <v>#VALUE!</v>
      </c>
      <c r="BG67" s="58" t="e" vm="2">
        <f t="shared" si="653"/>
        <v>#VALUE!</v>
      </c>
      <c r="BH67" s="58">
        <f t="shared" si="654"/>
        <v>870.64615384615399</v>
      </c>
      <c r="BI67" s="58" t="e" vm="2">
        <f t="shared" si="655"/>
        <v>#VALUE!</v>
      </c>
      <c r="BJ67" s="58">
        <f t="shared" si="656"/>
        <v>76.553846153846166</v>
      </c>
      <c r="BK67" s="64">
        <v>0.18</v>
      </c>
      <c r="BL67" s="58">
        <f t="shared" si="657"/>
        <v>1018.6560000000001</v>
      </c>
      <c r="BM67" s="58">
        <f t="shared" si="658"/>
        <v>3796.7427692307697</v>
      </c>
      <c r="BN67" s="58">
        <f t="shared" si="659"/>
        <v>3845.3538461538469</v>
      </c>
      <c r="BO67" s="58">
        <f t="shared" si="660"/>
        <v>580.43076923076933</v>
      </c>
      <c r="BP67" s="58" cm="1">
        <f t="array" ref="BP67">BE67 - _xlfn.IFS(
    _xlfn.XOR(Y67 &lt; 2.5, Y67 = 2.5), 0.5 * AH67,
    _xlfn.XOR(Y67 &lt; 2.5, Y67 = 2.5) = FALSE, 0
)</f>
        <v>6030.4323076923074</v>
      </c>
      <c r="BQ67" s="58">
        <f>21-(BY67*(Y67))</f>
        <v>13</v>
      </c>
      <c r="BR67" s="58" t="e" vm="1">
        <f>'[1]4 - Flächen'!AI67</f>
        <v>#VALUE!</v>
      </c>
      <c r="BS67" s="26"/>
      <c r="BT67" s="58">
        <f t="shared" si="662"/>
        <v>3169.1520000000005</v>
      </c>
      <c r="BU67" s="58">
        <f t="shared" si="663"/>
        <v>32314.032000000003</v>
      </c>
      <c r="BV67" s="58">
        <f t="shared" si="664"/>
        <v>4135.5692307692316</v>
      </c>
      <c r="BW67" s="58">
        <f t="shared" si="665"/>
        <v>2031.5076923076927</v>
      </c>
      <c r="BX67" s="58"/>
      <c r="BY67" s="58">
        <f t="shared" si="666"/>
        <v>2</v>
      </c>
      <c r="BZ67" s="3"/>
      <c r="CA67" s="65">
        <f t="shared" si="667"/>
        <v>71056.915200000003</v>
      </c>
      <c r="CB67" s="68">
        <v>15</v>
      </c>
      <c r="CC67" s="65">
        <f t="shared" si="668"/>
        <v>84903.000000000015</v>
      </c>
      <c r="CD67" s="66">
        <f t="shared" si="669"/>
        <v>44.67960706560924</v>
      </c>
      <c r="CE67" s="67">
        <f t="shared" si="670"/>
        <v>0.19754681837683649</v>
      </c>
      <c r="CF67" s="65" t="e">
        <f t="shared" si="671"/>
        <v>#DIV/0!</v>
      </c>
      <c r="CG67" s="65">
        <f>0.4356603145*AC67</f>
        <v>2941.9919856794559</v>
      </c>
      <c r="CH67" s="68">
        <v>30</v>
      </c>
      <c r="CI67" s="65">
        <f t="shared" si="672"/>
        <v>169791.00000000003</v>
      </c>
      <c r="CJ67" s="66">
        <f t="shared" si="673"/>
        <v>89.357501802451353</v>
      </c>
      <c r="CK67" s="67">
        <f t="shared" si="674"/>
        <v>0.21915379791671538</v>
      </c>
      <c r="CL67" s="65" t="e">
        <f t="shared" si="675"/>
        <v>#DIV/0!</v>
      </c>
      <c r="CM67" s="122">
        <f>0.4833113148*AC67</f>
        <v>3263.7767715007258</v>
      </c>
      <c r="CN67" s="68">
        <v>70</v>
      </c>
      <c r="CO67" s="65">
        <f t="shared" si="676"/>
        <v>396159.00000000006</v>
      </c>
      <c r="CP67" s="66">
        <f t="shared" si="677"/>
        <v>208.49855443403032</v>
      </c>
      <c r="CQ67" s="67">
        <f t="shared" si="678"/>
        <v>0.27667462589979808</v>
      </c>
      <c r="CR67" s="65" t="e">
        <f t="shared" si="679"/>
        <v>#DIV/0!</v>
      </c>
      <c r="CS67" s="65">
        <f>0.6101650005*AC67</f>
        <v>4120.4132707687822</v>
      </c>
      <c r="CT67" s="69">
        <v>3.05</v>
      </c>
      <c r="CU67" s="3"/>
      <c r="CV67" s="65">
        <f t="shared" si="680"/>
        <v>71056.915200000003</v>
      </c>
      <c r="CW67" s="65">
        <v>15</v>
      </c>
      <c r="CX67" s="65">
        <f t="shared" si="681"/>
        <v>84903.000000000015</v>
      </c>
      <c r="CY67" s="66">
        <f t="shared" si="682"/>
        <v>44.67960706560924</v>
      </c>
      <c r="CZ67" s="67">
        <f t="shared" si="683"/>
        <v>1.7334974315623575</v>
      </c>
      <c r="DA67" s="65" t="e">
        <f t="shared" si="684"/>
        <v>#DIV/0!</v>
      </c>
      <c r="DB67" s="50">
        <f>3.8229724094*AC67</f>
        <v>25816.338591309723</v>
      </c>
      <c r="DC67" s="68">
        <v>30</v>
      </c>
      <c r="DD67" s="65">
        <f t="shared" si="685"/>
        <v>169791.00000000003</v>
      </c>
      <c r="DE67" s="66">
        <f t="shared" si="686"/>
        <v>89.357501802451353</v>
      </c>
      <c r="DF67" s="67">
        <f t="shared" si="687"/>
        <v>1.7684249999999997</v>
      </c>
      <c r="DG67" s="65" t="e">
        <f t="shared" si="688"/>
        <v>#DIV/0!</v>
      </c>
      <c r="DH67" s="65">
        <f>3.9*AC67</f>
        <v>26336.502</v>
      </c>
      <c r="DI67" s="68">
        <v>70</v>
      </c>
      <c r="DJ67" s="65">
        <f t="shared" si="689"/>
        <v>396159.00000000006</v>
      </c>
      <c r="DK67" s="66">
        <f t="shared" si="690"/>
        <v>208.49855443403032</v>
      </c>
      <c r="DL67" s="67">
        <f t="shared" si="691"/>
        <v>1.8550701587869365</v>
      </c>
      <c r="DM67" s="65" t="e">
        <f t="shared" si="692"/>
        <v>#DIV/0!</v>
      </c>
      <c r="DN67" s="65">
        <f>4.0910830933*AC67</f>
        <v>27626.876427913241</v>
      </c>
      <c r="DO67" s="69">
        <v>3.9</v>
      </c>
      <c r="DP67" s="7"/>
      <c r="DQ67" s="65">
        <f t="shared" si="693"/>
        <v>71056.915200000003</v>
      </c>
      <c r="DR67" s="65">
        <v>15</v>
      </c>
      <c r="DS67" s="65">
        <f t="shared" si="694"/>
        <v>84903.000000000015</v>
      </c>
      <c r="DT67" s="66">
        <f t="shared" si="695"/>
        <v>44.67960706560924</v>
      </c>
      <c r="DU67" s="67">
        <f t="shared" si="696"/>
        <v>0.14119195265563067</v>
      </c>
      <c r="DV67" s="65">
        <f t="shared" si="697"/>
        <v>49.644007850676928</v>
      </c>
      <c r="DW67" s="65">
        <f>0.5886747999*AC67</f>
        <v>3975.291037157936</v>
      </c>
      <c r="DX67" s="68">
        <v>30</v>
      </c>
      <c r="DY67" s="65">
        <f t="shared" si="698"/>
        <v>169791.00000000003</v>
      </c>
      <c r="DZ67" s="66">
        <f t="shared" si="699"/>
        <v>89.357501802451353</v>
      </c>
      <c r="EA67" s="67">
        <f t="shared" si="700"/>
        <v>0.14870016810527334</v>
      </c>
      <c r="EB67" s="65">
        <f t="shared" si="701"/>
        <v>99.28611311383483</v>
      </c>
      <c r="EC67" s="65">
        <f>0.6199789723*AC67</f>
        <v>4186.6865240863835</v>
      </c>
      <c r="ED67" s="68">
        <v>70</v>
      </c>
      <c r="EE67" s="65">
        <f t="shared" si="702"/>
        <v>396159.00000000006</v>
      </c>
      <c r="EF67" s="66">
        <f t="shared" si="703"/>
        <v>208.49855443403032</v>
      </c>
      <c r="EG67" s="67">
        <f t="shared" si="704"/>
        <v>0.16886638191473016</v>
      </c>
      <c r="EH67" s="65">
        <f t="shared" si="705"/>
        <v>231.66506048225591</v>
      </c>
      <c r="EI67" s="65">
        <f>0.7040584234*AC67</f>
        <v>4754.4707887156274</v>
      </c>
      <c r="EJ67" s="69">
        <v>3.9</v>
      </c>
    </row>
    <row r="68" spans="1:140">
      <c r="A68" s="48" t="str">
        <f t="shared" si="0"/>
        <v>ZmWe</v>
      </c>
      <c r="B68" s="49">
        <v>42</v>
      </c>
      <c r="C68" s="48" t="s">
        <v>88</v>
      </c>
      <c r="D68" s="48" t="s">
        <v>81</v>
      </c>
      <c r="E68" s="48" t="s">
        <v>80</v>
      </c>
      <c r="F68" s="3"/>
      <c r="G68" s="50">
        <v>10000</v>
      </c>
      <c r="H68" s="51">
        <v>8493</v>
      </c>
      <c r="I68" s="51">
        <v>764</v>
      </c>
      <c r="J68" s="51">
        <v>423</v>
      </c>
      <c r="K68" s="51">
        <v>320</v>
      </c>
      <c r="L68" s="51">
        <f>(1039.5*1)+(418.5*2)</f>
        <v>1876.5</v>
      </c>
      <c r="M68" s="179"/>
      <c r="N68" s="53">
        <f t="shared" si="629"/>
        <v>0.18765000000000001</v>
      </c>
      <c r="O68" s="52">
        <f t="shared" si="630"/>
        <v>2309.5384615384614</v>
      </c>
      <c r="P68" s="52">
        <f t="shared" si="631"/>
        <v>1847.6307692307691</v>
      </c>
      <c r="Q68" s="52">
        <f t="shared" si="706"/>
        <v>923.81538461538457</v>
      </c>
      <c r="R68" s="52">
        <f t="shared" si="632"/>
        <v>739.05230769230775</v>
      </c>
      <c r="S68" s="52">
        <f t="shared" si="4"/>
        <v>2771.4461538461537</v>
      </c>
      <c r="T68" s="3"/>
      <c r="U68" s="58">
        <f t="shared" si="633"/>
        <v>1876.5</v>
      </c>
      <c r="V68" s="56">
        <f t="shared" si="634"/>
        <v>0.18765000000000001</v>
      </c>
      <c r="W68" s="110">
        <f t="shared" si="635"/>
        <v>0.75060000000000004</v>
      </c>
      <c r="X68" s="32"/>
      <c r="Y68" s="57">
        <v>4</v>
      </c>
      <c r="Z68" s="58">
        <f t="shared" si="636"/>
        <v>7506</v>
      </c>
      <c r="AA68" s="58">
        <f t="shared" si="637"/>
        <v>6004.8</v>
      </c>
      <c r="AB68" s="58">
        <f t="shared" si="638"/>
        <v>8429.8153846153837</v>
      </c>
      <c r="AC68" s="58">
        <f t="shared" si="639"/>
        <v>7165.3430769230763</v>
      </c>
      <c r="AD68" s="58">
        <f t="shared" si="640"/>
        <v>6004.8</v>
      </c>
      <c r="AE68" s="58">
        <f t="shared" si="641"/>
        <v>192.46153846153845</v>
      </c>
      <c r="AF68" s="58">
        <f t="shared" si="642"/>
        <v>5812.3384615384621</v>
      </c>
      <c r="AG68" s="3"/>
      <c r="AH68" s="58">
        <f t="shared" si="14"/>
        <v>1876.5</v>
      </c>
      <c r="AI68" s="55">
        <f t="shared" si="643"/>
        <v>1876.5</v>
      </c>
      <c r="AJ68" s="51">
        <f>(2174*1)+(1068*2)</f>
        <v>4310</v>
      </c>
      <c r="AK68" s="58">
        <f t="shared" si="644"/>
        <v>8063</v>
      </c>
      <c r="AL68" s="51">
        <f>(12474*1)+(5022*2)</f>
        <v>22518</v>
      </c>
      <c r="AM68" s="59">
        <f t="shared" si="645"/>
        <v>0.35806910027533528</v>
      </c>
      <c r="AN68" s="32"/>
      <c r="AO68" s="50">
        <v>90</v>
      </c>
      <c r="AP68" s="60">
        <f>13.5*3</f>
        <v>40.5</v>
      </c>
      <c r="AQ68" s="55">
        <f t="shared" si="646"/>
        <v>130.5</v>
      </c>
      <c r="AR68" s="3"/>
      <c r="AS68" s="55">
        <v>3</v>
      </c>
      <c r="AT68" s="3"/>
      <c r="AU68" s="58">
        <v>41</v>
      </c>
      <c r="AV68" s="58">
        <v>78</v>
      </c>
      <c r="AW68" s="58">
        <v>121</v>
      </c>
      <c r="AX68" s="62">
        <f t="shared" si="647"/>
        <v>146.45853658536586</v>
      </c>
      <c r="AY68" s="62">
        <f t="shared" si="648"/>
        <v>76.984615384615381</v>
      </c>
      <c r="AZ68" s="62">
        <f t="shared" si="649"/>
        <v>12.8125</v>
      </c>
      <c r="BA68" s="62">
        <f t="shared" si="650"/>
        <v>24.375</v>
      </c>
      <c r="BB68" s="3"/>
      <c r="BC68" s="58" t="s">
        <v>89</v>
      </c>
      <c r="BD68" s="58">
        <f t="shared" si="651"/>
        <v>1876.5</v>
      </c>
      <c r="BE68" s="58">
        <f t="shared" si="652"/>
        <v>6402.290769230769</v>
      </c>
      <c r="BF68" s="58" t="e" vm="1">
        <f>'[1]4 - Flächen'!AJ68</f>
        <v>#VALUE!</v>
      </c>
      <c r="BG68" s="58" t="e" vm="2">
        <f t="shared" si="653"/>
        <v>#VALUE!</v>
      </c>
      <c r="BH68" s="58">
        <f t="shared" si="654"/>
        <v>923.81538461538457</v>
      </c>
      <c r="BI68" s="58" t="e" vm="2">
        <f t="shared" si="655"/>
        <v>#VALUE!</v>
      </c>
      <c r="BJ68" s="58">
        <f t="shared" si="656"/>
        <v>82.984615384615381</v>
      </c>
      <c r="BK68" s="64">
        <v>0.18</v>
      </c>
      <c r="BL68" s="58">
        <f t="shared" si="657"/>
        <v>1080.864</v>
      </c>
      <c r="BM68" s="58">
        <f t="shared" si="658"/>
        <v>4028.6049230769227</v>
      </c>
      <c r="BN68" s="58">
        <f t="shared" si="659"/>
        <v>4080.1846153846154</v>
      </c>
      <c r="BO68" s="58">
        <f t="shared" si="660"/>
        <v>615.87692307692305</v>
      </c>
      <c r="BP68" s="58" cm="1">
        <f t="array" ref="BP68">BE68 - _xlfn.IFS(
    _xlfn.XOR(Y68 &lt; 2.5, Y68 = 2.5), 0.5 * AH68,
    _xlfn.XOR(Y68 &lt; 2.5, Y68 = 2.5) = FALSE, 0
)</f>
        <v>6402.290769230769</v>
      </c>
      <c r="BQ68" s="58">
        <f>24-(BY68*(Y68))</f>
        <v>12</v>
      </c>
      <c r="BR68" s="58" t="e" vm="1">
        <f>'[1]4 - Flächen'!AI68</f>
        <v>#VALUE!</v>
      </c>
      <c r="BS68" s="26"/>
      <c r="BT68" s="58">
        <f t="shared" si="662"/>
        <v>3362.6880000000006</v>
      </c>
      <c r="BU68" s="58">
        <f t="shared" si="663"/>
        <v>34287.408000000003</v>
      </c>
      <c r="BV68" s="58">
        <f t="shared" si="664"/>
        <v>4388.123076923077</v>
      </c>
      <c r="BW68" s="58">
        <f t="shared" si="665"/>
        <v>2155.5692307692307</v>
      </c>
      <c r="BX68" s="58"/>
      <c r="BY68" s="58">
        <f t="shared" si="666"/>
        <v>3</v>
      </c>
      <c r="BZ68" s="3"/>
      <c r="CA68" s="65">
        <f t="shared" si="667"/>
        <v>75396.268799999991</v>
      </c>
      <c r="CB68" s="68">
        <v>15</v>
      </c>
      <c r="CC68" s="65">
        <f t="shared" si="668"/>
        <v>90087</v>
      </c>
      <c r="CD68" s="66">
        <f t="shared" si="669"/>
        <v>47.408028118240814</v>
      </c>
      <c r="CE68" s="67">
        <f t="shared" si="670"/>
        <v>0.18737017679801152</v>
      </c>
      <c r="CF68" s="65" t="e">
        <f t="shared" si="671"/>
        <v>#DIV/0!</v>
      </c>
      <c r="CG68" s="65">
        <f>0.4132172354*AC68</f>
        <v>2960.8432569386832</v>
      </c>
      <c r="CH68" s="68">
        <v>30</v>
      </c>
      <c r="CI68" s="65">
        <f t="shared" si="672"/>
        <v>180159</v>
      </c>
      <c r="CJ68" s="66">
        <f t="shared" si="673"/>
        <v>94.814343907714502</v>
      </c>
      <c r="CK68" s="67">
        <f t="shared" si="674"/>
        <v>0.2243325586132654</v>
      </c>
      <c r="CL68" s="65" t="e">
        <f t="shared" si="675"/>
        <v>#DIV/0!</v>
      </c>
      <c r="CM68" s="122">
        <f>0.4947323062*AC68</f>
        <v>3544.9267051603579</v>
      </c>
      <c r="CN68" s="68">
        <v>70</v>
      </c>
      <c r="CO68" s="65">
        <f t="shared" si="676"/>
        <v>420351</v>
      </c>
      <c r="CP68" s="66">
        <f t="shared" si="677"/>
        <v>221.23118601297764</v>
      </c>
      <c r="CQ68" s="67">
        <f t="shared" si="678"/>
        <v>0.28505018968994805</v>
      </c>
      <c r="CR68" s="65" t="e">
        <f t="shared" si="679"/>
        <v>#DIV/0!</v>
      </c>
      <c r="CS68" s="65">
        <f>0.6286360687*AC68</f>
        <v>4504.3931027636845</v>
      </c>
      <c r="CT68" s="69">
        <v>3.05</v>
      </c>
      <c r="CU68" s="3"/>
      <c r="CV68" s="65">
        <f t="shared" si="680"/>
        <v>75396.268799999991</v>
      </c>
      <c r="CW68" s="65">
        <v>15</v>
      </c>
      <c r="CX68" s="65">
        <f t="shared" si="681"/>
        <v>90087</v>
      </c>
      <c r="CY68" s="66">
        <f t="shared" si="682"/>
        <v>47.408028118240814</v>
      </c>
      <c r="CZ68" s="67">
        <f t="shared" si="683"/>
        <v>1.722865546330929</v>
      </c>
      <c r="DA68" s="65" t="e">
        <f t="shared" si="684"/>
        <v>#DIV/0!</v>
      </c>
      <c r="DB68" s="50">
        <f>3.7995253577*AC68</f>
        <v>27224.90271738937</v>
      </c>
      <c r="DC68" s="68">
        <v>30</v>
      </c>
      <c r="DD68" s="65">
        <f t="shared" si="685"/>
        <v>180159</v>
      </c>
      <c r="DE68" s="66">
        <f t="shared" si="686"/>
        <v>94.814343907714502</v>
      </c>
      <c r="DF68" s="67">
        <f t="shared" si="687"/>
        <v>1.772959423076923</v>
      </c>
      <c r="DG68" s="65" t="e">
        <f t="shared" si="688"/>
        <v>#DIV/0!</v>
      </c>
      <c r="DH68" s="65">
        <f>3.91*AC68</f>
        <v>28016.491430769231</v>
      </c>
      <c r="DI68" s="68">
        <v>70</v>
      </c>
      <c r="DJ68" s="65">
        <f t="shared" si="689"/>
        <v>420351</v>
      </c>
      <c r="DK68" s="66">
        <f t="shared" si="690"/>
        <v>221.23118601297764</v>
      </c>
      <c r="DL68" s="67">
        <f t="shared" si="691"/>
        <v>1.8659169729515575</v>
      </c>
      <c r="DM68" s="65" t="e">
        <f t="shared" si="692"/>
        <v>#DIV/0!</v>
      </c>
      <c r="DN68" s="65">
        <f>4.115004139*AC68</f>
        <v>29485.416418893452</v>
      </c>
      <c r="DO68" s="69">
        <v>3.9</v>
      </c>
      <c r="DP68" s="7"/>
      <c r="DQ68" s="65">
        <f t="shared" si="693"/>
        <v>75396.268799999991</v>
      </c>
      <c r="DR68" s="65">
        <v>15</v>
      </c>
      <c r="DS68" s="65">
        <f t="shared" si="694"/>
        <v>90087</v>
      </c>
      <c r="DT68" s="66">
        <f t="shared" si="695"/>
        <v>47.408028118240814</v>
      </c>
      <c r="DU68" s="67">
        <f t="shared" si="696"/>
        <v>0.10344311228088693</v>
      </c>
      <c r="DV68" s="65">
        <f t="shared" si="697"/>
        <v>52.675586798045344</v>
      </c>
      <c r="DW68" s="65">
        <f>0.4312877064*AC68</f>
        <v>3090.3243812152728</v>
      </c>
      <c r="DX68" s="68">
        <v>30</v>
      </c>
      <c r="DY68" s="65">
        <f t="shared" si="698"/>
        <v>180159</v>
      </c>
      <c r="DZ68" s="66">
        <f t="shared" si="699"/>
        <v>94.814343907714502</v>
      </c>
      <c r="EA68" s="67">
        <f t="shared" si="700"/>
        <v>0.15328503649024586</v>
      </c>
      <c r="EB68" s="65">
        <f t="shared" si="701"/>
        <v>105.34927100857166</v>
      </c>
      <c r="EC68" s="65">
        <f>0.6390947677*AC68</f>
        <v>4579.3332692369568</v>
      </c>
      <c r="ED68" s="68">
        <v>70</v>
      </c>
      <c r="EE68" s="65">
        <f t="shared" si="702"/>
        <v>420351</v>
      </c>
      <c r="EF68" s="66">
        <f t="shared" si="703"/>
        <v>221.23118601297764</v>
      </c>
      <c r="EG68" s="67">
        <f t="shared" si="704"/>
        <v>0.17460975031450299</v>
      </c>
      <c r="EH68" s="65">
        <f t="shared" si="705"/>
        <v>245.8124289033085</v>
      </c>
      <c r="EI68" s="65">
        <f>0.7280043791*AC68</f>
        <v>5216.4011377538682</v>
      </c>
      <c r="EJ68" s="69">
        <v>3.9</v>
      </c>
    </row>
    <row r="69" spans="1:140">
      <c r="A69" s="70" t="str">
        <f t="shared" si="0"/>
        <v>ZhKr</v>
      </c>
      <c r="B69" s="71">
        <v>43</v>
      </c>
      <c r="C69" s="70" t="s">
        <v>88</v>
      </c>
      <c r="D69" s="70" t="s">
        <v>82</v>
      </c>
      <c r="E69" s="70" t="s">
        <v>77</v>
      </c>
      <c r="F69" s="3"/>
      <c r="G69" s="72">
        <v>10000</v>
      </c>
      <c r="H69" s="73">
        <v>7225</v>
      </c>
      <c r="I69" s="73">
        <v>1164</v>
      </c>
      <c r="J69" s="73">
        <v>931</v>
      </c>
      <c r="K69" s="73">
        <v>680</v>
      </c>
      <c r="L69" s="73">
        <f>1039.5*2+418.5*2</f>
        <v>2916</v>
      </c>
      <c r="M69" s="123"/>
      <c r="N69" s="75">
        <f t="shared" si="629"/>
        <v>0.29160000000000003</v>
      </c>
      <c r="O69" s="124">
        <f t="shared" si="630"/>
        <v>4486.1538461538466</v>
      </c>
      <c r="P69" s="124">
        <f t="shared" si="631"/>
        <v>3588.9230769230776</v>
      </c>
      <c r="Q69" s="124">
        <f t="shared" si="706"/>
        <v>1794.4615384615386</v>
      </c>
      <c r="R69" s="124">
        <f t="shared" si="632"/>
        <v>1435.5692307692309</v>
      </c>
      <c r="S69" s="72">
        <f t="shared" si="4"/>
        <v>5383.3846153846152</v>
      </c>
      <c r="T69" s="3"/>
      <c r="U69" s="77">
        <f t="shared" si="633"/>
        <v>2916</v>
      </c>
      <c r="V69" s="78">
        <f t="shared" si="634"/>
        <v>0.29160000000000003</v>
      </c>
      <c r="W69" s="111">
        <f t="shared" si="635"/>
        <v>1.458</v>
      </c>
      <c r="X69" s="32"/>
      <c r="Y69" s="79">
        <v>5</v>
      </c>
      <c r="Z69" s="77">
        <f t="shared" si="636"/>
        <v>14580</v>
      </c>
      <c r="AA69" s="77">
        <f t="shared" si="637"/>
        <v>11664</v>
      </c>
      <c r="AB69" s="77">
        <f t="shared" si="638"/>
        <v>16374.461538461539</v>
      </c>
      <c r="AC69" s="77">
        <f t="shared" si="639"/>
        <v>13918.292307692307</v>
      </c>
      <c r="AD69" s="77">
        <f t="shared" si="640"/>
        <v>11664</v>
      </c>
      <c r="AE69" s="77">
        <f t="shared" si="641"/>
        <v>373.84615384615387</v>
      </c>
      <c r="AF69" s="77">
        <f t="shared" si="642"/>
        <v>11290.153846153846</v>
      </c>
      <c r="AG69" s="3"/>
      <c r="AH69" s="77">
        <f t="shared" si="14"/>
        <v>2916</v>
      </c>
      <c r="AI69" s="77">
        <f t="shared" si="643"/>
        <v>2916</v>
      </c>
      <c r="AJ69" s="73">
        <f>(2715*2)+(1335*2)</f>
        <v>8100</v>
      </c>
      <c r="AK69" s="77">
        <f t="shared" si="644"/>
        <v>13932</v>
      </c>
      <c r="AL69" s="73">
        <f>(15592.5*2)+(6277.5*2)</f>
        <v>43740</v>
      </c>
      <c r="AM69" s="80">
        <f t="shared" si="645"/>
        <v>0.31851851851851853</v>
      </c>
      <c r="AN69" s="32"/>
      <c r="AO69" s="72">
        <v>200</v>
      </c>
      <c r="AP69" s="116">
        <f>13.5*4</f>
        <v>54</v>
      </c>
      <c r="AQ69" s="82">
        <f t="shared" si="646"/>
        <v>254</v>
      </c>
      <c r="AR69" s="3"/>
      <c r="AS69" s="82">
        <v>4</v>
      </c>
      <c r="AT69" s="3"/>
      <c r="AU69" s="77">
        <v>41</v>
      </c>
      <c r="AV69" s="77">
        <v>78</v>
      </c>
      <c r="AW69" s="77">
        <v>121</v>
      </c>
      <c r="AX69" s="83">
        <f t="shared" si="647"/>
        <v>284.48780487804879</v>
      </c>
      <c r="AY69" s="83">
        <f t="shared" si="648"/>
        <v>149.53846153846155</v>
      </c>
      <c r="AZ69" s="83">
        <f t="shared" si="649"/>
        <v>10.25</v>
      </c>
      <c r="BA69" s="83">
        <f t="shared" si="650"/>
        <v>19.5</v>
      </c>
      <c r="BB69" s="3"/>
      <c r="BC69" s="77" t="s">
        <v>89</v>
      </c>
      <c r="BD69" s="77">
        <f t="shared" si="651"/>
        <v>2916</v>
      </c>
      <c r="BE69" s="77">
        <f t="shared" si="652"/>
        <v>12362.723076923075</v>
      </c>
      <c r="BF69" s="77" t="e" vm="1">
        <f>'[1]4 - Flächen'!AJ69</f>
        <v>#VALUE!</v>
      </c>
      <c r="BG69" s="77" t="e" vm="2">
        <f t="shared" si="653"/>
        <v>#VALUE!</v>
      </c>
      <c r="BH69" s="77">
        <f t="shared" si="654"/>
        <v>1794.4615384615386</v>
      </c>
      <c r="BI69" s="77" t="e" vm="2">
        <f t="shared" si="655"/>
        <v>#VALUE!</v>
      </c>
      <c r="BJ69" s="77">
        <f t="shared" si="656"/>
        <v>157.53846153846155</v>
      </c>
      <c r="BK69" s="85">
        <v>0.18</v>
      </c>
      <c r="BL69" s="77">
        <f t="shared" si="657"/>
        <v>2099.52</v>
      </c>
      <c r="BM69" s="77">
        <f t="shared" si="658"/>
        <v>7825.3476923076923</v>
      </c>
      <c r="BN69" s="77">
        <f t="shared" si="659"/>
        <v>7925.5384615384619</v>
      </c>
      <c r="BO69" s="77">
        <f t="shared" si="660"/>
        <v>1196.3076923076924</v>
      </c>
      <c r="BP69" s="77" cm="1">
        <f t="array" ref="BP69">BE69 - _xlfn.IFS(
    _xlfn.XOR(Y69 &lt; 2.5, Y69 = 2.5), 0.5 * AH69,
    _xlfn.XOR(Y69 &lt; 2.5, Y69 = 2.5) = FALSE, 0
)</f>
        <v>12362.723076923075</v>
      </c>
      <c r="BQ69" s="77">
        <f>12*Y69</f>
        <v>60</v>
      </c>
      <c r="BR69" s="77" t="e" vm="1">
        <f>'[1]4 - Flächen'!AI69</f>
        <v>#VALUE!</v>
      </c>
      <c r="BS69" s="26"/>
      <c r="BT69" s="77">
        <f t="shared" si="662"/>
        <v>6531.8400000000011</v>
      </c>
      <c r="BU69" s="77">
        <f t="shared" si="663"/>
        <v>66601.440000000002</v>
      </c>
      <c r="BV69" s="77">
        <f t="shared" si="664"/>
        <v>8523.6923076923085</v>
      </c>
      <c r="BW69" s="77">
        <f t="shared" si="665"/>
        <v>4187.0769230769238</v>
      </c>
      <c r="BX69" s="77"/>
      <c r="BY69" s="77">
        <f t="shared" ref="BY69:BY71" si="707">BQ69/Y69</f>
        <v>12</v>
      </c>
      <c r="BZ69" s="3"/>
      <c r="CA69" s="86">
        <f t="shared" si="667"/>
        <v>146453.18400000001</v>
      </c>
      <c r="CB69" s="89">
        <v>15</v>
      </c>
      <c r="CC69" s="86">
        <f t="shared" si="668"/>
        <v>174975</v>
      </c>
      <c r="CD69" s="87">
        <f t="shared" si="669"/>
        <v>92.085922855082913</v>
      </c>
      <c r="CE69" s="88">
        <f t="shared" si="670"/>
        <v>0.18411901037010958</v>
      </c>
      <c r="CF69" s="86" t="e">
        <f t="shared" si="671"/>
        <v>#DIV/0!</v>
      </c>
      <c r="CG69" s="86">
        <f>0.4060472683*AC69</f>
        <v>5651.4845709393639</v>
      </c>
      <c r="CH69" s="89">
        <v>30</v>
      </c>
      <c r="CI69" s="86">
        <f t="shared" si="672"/>
        <v>349935</v>
      </c>
      <c r="CJ69" s="87">
        <f t="shared" si="673"/>
        <v>184.1701333813987</v>
      </c>
      <c r="CK69" s="88">
        <f t="shared" si="674"/>
        <v>0.21029145115821729</v>
      </c>
      <c r="CL69" s="86" t="e">
        <f t="shared" si="675"/>
        <v>#DIV/0!</v>
      </c>
      <c r="CM69" s="125">
        <f>0.4637667187*AC69</f>
        <v>6454.840753445912</v>
      </c>
      <c r="CN69" s="89">
        <v>70</v>
      </c>
      <c r="CO69" s="86">
        <f t="shared" si="676"/>
        <v>816495</v>
      </c>
      <c r="CP69" s="87">
        <f t="shared" si="677"/>
        <v>429.72802811824079</v>
      </c>
      <c r="CQ69" s="88">
        <f t="shared" si="678"/>
        <v>0.26067580826110576</v>
      </c>
      <c r="CR69" s="86" t="e">
        <f t="shared" si="679"/>
        <v>#DIV/0!</v>
      </c>
      <c r="CS69" s="86">
        <f>0.5748819725*AC69</f>
        <v>8001.3753356777297</v>
      </c>
      <c r="CT69" s="90">
        <v>3.05</v>
      </c>
      <c r="CU69" s="3"/>
      <c r="CV69" s="86">
        <f t="shared" si="680"/>
        <v>146453.18400000001</v>
      </c>
      <c r="CW69" s="86">
        <v>15</v>
      </c>
      <c r="CX69" s="86">
        <f t="shared" si="681"/>
        <v>174975</v>
      </c>
      <c r="CY69" s="87">
        <f t="shared" si="682"/>
        <v>92.085922855082913</v>
      </c>
      <c r="CZ69" s="88">
        <f t="shared" si="683"/>
        <v>1.4696542465275861</v>
      </c>
      <c r="DA69" s="86" t="e">
        <f t="shared" si="684"/>
        <v>#DIV/0!</v>
      </c>
      <c r="DB69" s="72">
        <f>3.2411052555*AC69</f>
        <v>45110.650346046757</v>
      </c>
      <c r="DC69" s="89">
        <v>30</v>
      </c>
      <c r="DD69" s="86">
        <f t="shared" si="685"/>
        <v>349935</v>
      </c>
      <c r="DE69" s="87">
        <f t="shared" si="686"/>
        <v>184.1701333813987</v>
      </c>
      <c r="DF69" s="88">
        <f t="shared" si="687"/>
        <v>1.5054284615384612</v>
      </c>
      <c r="DG69" s="86" t="e">
        <f t="shared" si="688"/>
        <v>#DIV/0!</v>
      </c>
      <c r="DH69" s="86">
        <f>3.32*AC69</f>
        <v>46208.730461538456</v>
      </c>
      <c r="DI69" s="89">
        <v>70</v>
      </c>
      <c r="DJ69" s="86">
        <f t="shared" si="689"/>
        <v>816495</v>
      </c>
      <c r="DK69" s="87">
        <f t="shared" si="690"/>
        <v>429.72802811824079</v>
      </c>
      <c r="DL69" s="88">
        <f t="shared" si="691"/>
        <v>1.5872106289166845</v>
      </c>
      <c r="DM69" s="86" t="e">
        <f t="shared" si="692"/>
        <v>#DIV/0!</v>
      </c>
      <c r="DN69" s="86">
        <f>3.5003584844*AC69</f>
        <v>48719.01256759002</v>
      </c>
      <c r="DO69" s="90">
        <v>3.9</v>
      </c>
      <c r="DP69" s="7"/>
      <c r="DQ69" s="86">
        <f t="shared" si="693"/>
        <v>146453.18400000001</v>
      </c>
      <c r="DR69" s="86">
        <v>15</v>
      </c>
      <c r="DS69" s="86">
        <f t="shared" si="694"/>
        <v>174975</v>
      </c>
      <c r="DT69" s="87">
        <f t="shared" si="695"/>
        <v>92.085922855082913</v>
      </c>
      <c r="DU69" s="88">
        <f t="shared" si="696"/>
        <v>0.10128129103240788</v>
      </c>
      <c r="DV69" s="86">
        <f t="shared" si="697"/>
        <v>102.31769206120323</v>
      </c>
      <c r="DW69" s="86">
        <f>0.4222743762*AC69</f>
        <v>5877.3382020000281</v>
      </c>
      <c r="DX69" s="89">
        <v>30</v>
      </c>
      <c r="DY69" s="86">
        <f t="shared" si="698"/>
        <v>349935</v>
      </c>
      <c r="DZ69" s="87">
        <f t="shared" si="699"/>
        <v>184.1701333813987</v>
      </c>
      <c r="EA69" s="88">
        <f t="shared" si="700"/>
        <v>0.1367536155319275</v>
      </c>
      <c r="EB69" s="86">
        <f t="shared" si="701"/>
        <v>204.63348153488744</v>
      </c>
      <c r="EC69" s="86">
        <f>0.5701699406*AC69</f>
        <v>7935.7918983303598</v>
      </c>
      <c r="ED69" s="89">
        <v>70</v>
      </c>
      <c r="EE69" s="86">
        <f t="shared" si="702"/>
        <v>816495</v>
      </c>
      <c r="EF69" s="87">
        <f t="shared" si="703"/>
        <v>429.72802811824079</v>
      </c>
      <c r="EG69" s="88">
        <f t="shared" si="704"/>
        <v>0.15339659928929711</v>
      </c>
      <c r="EH69" s="86">
        <f t="shared" si="705"/>
        <v>477.4755867980453</v>
      </c>
      <c r="EI69" s="86">
        <f>0.639559909*AC69</f>
        <v>8901.581761743093</v>
      </c>
      <c r="EJ69" s="90">
        <v>3.9</v>
      </c>
    </row>
    <row r="70" spans="1:140">
      <c r="A70" s="70" t="str">
        <f t="shared" si="0"/>
        <v>ZhKu</v>
      </c>
      <c r="B70" s="71">
        <v>44</v>
      </c>
      <c r="C70" s="70" t="s">
        <v>88</v>
      </c>
      <c r="D70" s="70" t="s">
        <v>82</v>
      </c>
      <c r="E70" s="70" t="s">
        <v>79</v>
      </c>
      <c r="F70" s="3"/>
      <c r="G70" s="72">
        <v>10000</v>
      </c>
      <c r="H70" s="73">
        <v>8500</v>
      </c>
      <c r="I70" s="73">
        <v>600</v>
      </c>
      <c r="J70" s="73">
        <v>560</v>
      </c>
      <c r="K70" s="73">
        <v>340</v>
      </c>
      <c r="L70" s="73">
        <f>1039.5*1.5+(418.5*0.5)</f>
        <v>1768.5</v>
      </c>
      <c r="M70" s="183"/>
      <c r="N70" s="75">
        <f t="shared" si="629"/>
        <v>0.17685000000000001</v>
      </c>
      <c r="O70" s="124">
        <f t="shared" si="630"/>
        <v>2720.7692307692309</v>
      </c>
      <c r="P70" s="124">
        <f t="shared" si="631"/>
        <v>2176.6153846153848</v>
      </c>
      <c r="Q70" s="124">
        <f t="shared" si="706"/>
        <v>1088.3076923076924</v>
      </c>
      <c r="R70" s="124">
        <f t="shared" si="632"/>
        <v>870.64615384615399</v>
      </c>
      <c r="S70" s="72">
        <f t="shared" si="4"/>
        <v>3264.9230769230771</v>
      </c>
      <c r="T70" s="3"/>
      <c r="U70" s="77">
        <f t="shared" si="633"/>
        <v>1768.5</v>
      </c>
      <c r="V70" s="78">
        <f t="shared" si="634"/>
        <v>0.17685000000000001</v>
      </c>
      <c r="W70" s="111">
        <f t="shared" si="635"/>
        <v>0.88424999999999998</v>
      </c>
      <c r="X70" s="32"/>
      <c r="Y70" s="79">
        <v>5</v>
      </c>
      <c r="Z70" s="77">
        <f t="shared" si="636"/>
        <v>8842.5</v>
      </c>
      <c r="AA70" s="77">
        <f t="shared" si="637"/>
        <v>7074</v>
      </c>
      <c r="AB70" s="77">
        <f t="shared" si="638"/>
        <v>9930.8076923076915</v>
      </c>
      <c r="AC70" s="77">
        <f t="shared" si="639"/>
        <v>8441.1865384615376</v>
      </c>
      <c r="AD70" s="77">
        <f t="shared" si="640"/>
        <v>7074</v>
      </c>
      <c r="AE70" s="77">
        <f t="shared" si="641"/>
        <v>226.73076923076923</v>
      </c>
      <c r="AF70" s="77">
        <f t="shared" si="642"/>
        <v>6847.2692307692305</v>
      </c>
      <c r="AG70" s="3"/>
      <c r="AH70" s="77">
        <f t="shared" si="14"/>
        <v>1768.5</v>
      </c>
      <c r="AI70" s="77">
        <f t="shared" si="643"/>
        <v>1768.5</v>
      </c>
      <c r="AJ70" s="73">
        <f>(2715*1.5)+(1335*0.5)</f>
        <v>4740</v>
      </c>
      <c r="AK70" s="77">
        <f t="shared" si="644"/>
        <v>8277</v>
      </c>
      <c r="AL70" s="73">
        <f>(15592.5*1.5)+(6277.5*0.5)</f>
        <v>26527.5</v>
      </c>
      <c r="AM70" s="80">
        <f t="shared" si="645"/>
        <v>0.31201583262651966</v>
      </c>
      <c r="AN70" s="32"/>
      <c r="AO70" s="72">
        <v>100</v>
      </c>
      <c r="AP70" s="116">
        <f>13.5*2</f>
        <v>27</v>
      </c>
      <c r="AQ70" s="82">
        <f t="shared" si="646"/>
        <v>127</v>
      </c>
      <c r="AR70" s="3"/>
      <c r="AS70" s="82">
        <v>2</v>
      </c>
      <c r="AT70" s="3"/>
      <c r="AU70" s="77">
        <v>41</v>
      </c>
      <c r="AV70" s="77">
        <v>78</v>
      </c>
      <c r="AW70" s="77">
        <v>121</v>
      </c>
      <c r="AX70" s="83">
        <f t="shared" si="647"/>
        <v>172.53658536585365</v>
      </c>
      <c r="AY70" s="83">
        <f t="shared" si="648"/>
        <v>90.692307692307693</v>
      </c>
      <c r="AZ70" s="83">
        <f t="shared" si="649"/>
        <v>10.25</v>
      </c>
      <c r="BA70" s="83">
        <f t="shared" si="650"/>
        <v>19.5</v>
      </c>
      <c r="BB70" s="3"/>
      <c r="BC70" s="77" t="s">
        <v>89</v>
      </c>
      <c r="BD70" s="77">
        <f t="shared" si="651"/>
        <v>1768.5</v>
      </c>
      <c r="BE70" s="77">
        <f t="shared" si="652"/>
        <v>7500.540384615384</v>
      </c>
      <c r="BF70" s="77" t="e" vm="1">
        <f>'[1]4 - Flächen'!AJ70</f>
        <v>#VALUE!</v>
      </c>
      <c r="BG70" s="77" t="e" vm="2">
        <f t="shared" si="653"/>
        <v>#VALUE!</v>
      </c>
      <c r="BH70" s="77">
        <f t="shared" si="654"/>
        <v>1088.3076923076924</v>
      </c>
      <c r="BI70" s="77" t="e" vm="2">
        <f t="shared" si="655"/>
        <v>#VALUE!</v>
      </c>
      <c r="BJ70" s="77">
        <f t="shared" si="656"/>
        <v>94.692307692307693</v>
      </c>
      <c r="BK70" s="85">
        <v>0.18</v>
      </c>
      <c r="BL70" s="77">
        <f t="shared" si="657"/>
        <v>1273.32</v>
      </c>
      <c r="BM70" s="77">
        <f t="shared" si="658"/>
        <v>4745.9284615384613</v>
      </c>
      <c r="BN70" s="77">
        <f t="shared" si="659"/>
        <v>4806.6923076923076</v>
      </c>
      <c r="BO70" s="77">
        <f t="shared" si="660"/>
        <v>725.53846153846155</v>
      </c>
      <c r="BP70" s="77" cm="1">
        <f t="array" ref="BP70">BE70 - _xlfn.IFS(
    _xlfn.XOR(Y70 &lt; 2.5, Y70 = 2.5), 0.5 * AH70,
    _xlfn.XOR(Y70 &lt; 2.5, Y70 = 2.5) = FALSE, 0
)</f>
        <v>7500.540384615384</v>
      </c>
      <c r="BQ70" s="77">
        <f>7*Y70</f>
        <v>35</v>
      </c>
      <c r="BR70" s="77" t="e" vm="1">
        <f>'[1]4 - Flächen'!AI70</f>
        <v>#VALUE!</v>
      </c>
      <c r="BS70" s="26"/>
      <c r="BT70" s="77">
        <f t="shared" si="662"/>
        <v>3961.4400000000005</v>
      </c>
      <c r="BU70" s="77">
        <f t="shared" si="663"/>
        <v>40392.54</v>
      </c>
      <c r="BV70" s="77">
        <f t="shared" si="664"/>
        <v>5169.4615384615381</v>
      </c>
      <c r="BW70" s="77">
        <f t="shared" si="665"/>
        <v>2539.3846153846152</v>
      </c>
      <c r="BX70" s="77"/>
      <c r="BY70" s="77">
        <f t="shared" si="707"/>
        <v>7</v>
      </c>
      <c r="BZ70" s="3"/>
      <c r="CA70" s="86">
        <f t="shared" si="667"/>
        <v>88821.144</v>
      </c>
      <c r="CB70" s="89">
        <v>15</v>
      </c>
      <c r="CC70" s="86">
        <f t="shared" si="668"/>
        <v>106125</v>
      </c>
      <c r="CD70" s="87">
        <f t="shared" si="669"/>
        <v>55.849080749819755</v>
      </c>
      <c r="CE70" s="88">
        <f t="shared" si="670"/>
        <v>0.2037164629240423</v>
      </c>
      <c r="CF70" s="86" t="e">
        <f t="shared" si="671"/>
        <v>#DIV/0!</v>
      </c>
      <c r="CG70" s="86">
        <f>0.4492665538*AC70</f>
        <v>3792.3427861175664</v>
      </c>
      <c r="CH70" s="89">
        <v>30</v>
      </c>
      <c r="CI70" s="86">
        <f t="shared" si="672"/>
        <v>212235</v>
      </c>
      <c r="CJ70" s="87">
        <f t="shared" si="673"/>
        <v>111.69644917087238</v>
      </c>
      <c r="CK70" s="88">
        <f t="shared" si="674"/>
        <v>0.21449816281862305</v>
      </c>
      <c r="CL70" s="86" t="e">
        <f t="shared" si="675"/>
        <v>#DIV/0!</v>
      </c>
      <c r="CM70" s="125">
        <f>0.4730439996*AC70</f>
        <v>3993.0526415235249</v>
      </c>
      <c r="CN70" s="89">
        <v>70</v>
      </c>
      <c r="CO70" s="86">
        <f t="shared" si="676"/>
        <v>495195</v>
      </c>
      <c r="CP70" s="87">
        <f t="shared" si="677"/>
        <v>260.62276496034605</v>
      </c>
      <c r="CQ70" s="88">
        <f t="shared" si="678"/>
        <v>0.26818618558238838</v>
      </c>
      <c r="CR70" s="86" t="e">
        <f t="shared" si="679"/>
        <v>#DIV/0!</v>
      </c>
      <c r="CS70" s="86">
        <f>0.5914449998*AC70</f>
        <v>4992.4975705521465</v>
      </c>
      <c r="CT70" s="90">
        <v>3.05</v>
      </c>
      <c r="CU70" s="3"/>
      <c r="CV70" s="86">
        <f t="shared" si="680"/>
        <v>88821.144</v>
      </c>
      <c r="CW70" s="86">
        <v>15</v>
      </c>
      <c r="CX70" s="86">
        <f t="shared" si="681"/>
        <v>106125</v>
      </c>
      <c r="CY70" s="87">
        <f t="shared" si="682"/>
        <v>55.849080749819755</v>
      </c>
      <c r="CZ70" s="88">
        <f t="shared" si="683"/>
        <v>1.4865499633018844</v>
      </c>
      <c r="DA70" s="86" t="e">
        <f t="shared" si="684"/>
        <v>#DIV/0!</v>
      </c>
      <c r="DB70" s="72">
        <f>3.278366262*AC70</f>
        <v>27673.301158940871</v>
      </c>
      <c r="DC70" s="89">
        <v>30</v>
      </c>
      <c r="DD70" s="86">
        <f t="shared" si="685"/>
        <v>212235</v>
      </c>
      <c r="DE70" s="87">
        <f t="shared" si="686"/>
        <v>111.69644917087238</v>
      </c>
      <c r="DF70" s="88">
        <f t="shared" si="687"/>
        <v>1.5099628846153843</v>
      </c>
      <c r="DG70" s="86" t="e">
        <f t="shared" si="688"/>
        <v>#DIV/0!</v>
      </c>
      <c r="DH70" s="86">
        <f>3.33*AC70</f>
        <v>28109.15117307692</v>
      </c>
      <c r="DI70" s="89">
        <v>70</v>
      </c>
      <c r="DJ70" s="86">
        <f t="shared" si="689"/>
        <v>495195</v>
      </c>
      <c r="DK70" s="87">
        <f t="shared" si="690"/>
        <v>260.62276496034605</v>
      </c>
      <c r="DL70" s="88">
        <f t="shared" si="691"/>
        <v>1.595318576679519</v>
      </c>
      <c r="DM70" s="86" t="e">
        <f t="shared" si="692"/>
        <v>#DIV/0!</v>
      </c>
      <c r="DN70" s="86">
        <f>3.518239365*AC70</f>
        <v>29698.114766923467</v>
      </c>
      <c r="DO70" s="90">
        <v>3.9</v>
      </c>
      <c r="DP70" s="7"/>
      <c r="DQ70" s="86">
        <f t="shared" si="693"/>
        <v>88821.144</v>
      </c>
      <c r="DR70" s="86">
        <v>15</v>
      </c>
      <c r="DS70" s="86">
        <f t="shared" si="694"/>
        <v>106125</v>
      </c>
      <c r="DT70" s="87">
        <f t="shared" si="695"/>
        <v>55.849080749819755</v>
      </c>
      <c r="DU70" s="88">
        <f t="shared" si="696"/>
        <v>0.13879826136697759</v>
      </c>
      <c r="DV70" s="86">
        <f t="shared" si="697"/>
        <v>62.054534166466397</v>
      </c>
      <c r="DW70" s="86">
        <f>0.5786947287*AC70</f>
        <v>4884.8701537810921</v>
      </c>
      <c r="DX70" s="89">
        <v>30</v>
      </c>
      <c r="DY70" s="86">
        <f t="shared" si="698"/>
        <v>212235</v>
      </c>
      <c r="DZ70" s="87">
        <f t="shared" si="699"/>
        <v>111.69644917087238</v>
      </c>
      <c r="EA70" s="88">
        <f t="shared" si="700"/>
        <v>0.14040565809166558</v>
      </c>
      <c r="EB70" s="86">
        <f t="shared" si="701"/>
        <v>124.10716574541375</v>
      </c>
      <c r="EC70" s="86">
        <f>0.5853964842*AC70</f>
        <v>4941.4409220917523</v>
      </c>
      <c r="ED70" s="89">
        <v>70</v>
      </c>
      <c r="EE70" s="86">
        <f t="shared" si="702"/>
        <v>495195</v>
      </c>
      <c r="EF70" s="87">
        <f t="shared" si="703"/>
        <v>260.62276496034605</v>
      </c>
      <c r="EG70" s="88">
        <f t="shared" si="704"/>
        <v>0.15810036742056519</v>
      </c>
      <c r="EH70" s="86">
        <f t="shared" si="705"/>
        <v>289.58084995594004</v>
      </c>
      <c r="EI70" s="86">
        <f>0.6591714358*AC70</f>
        <v>5564.1890504133244</v>
      </c>
      <c r="EJ70" s="90">
        <v>3.9</v>
      </c>
    </row>
    <row r="71" spans="1:140">
      <c r="A71" s="70" t="str">
        <f t="shared" si="0"/>
        <v>ZhWe</v>
      </c>
      <c r="B71" s="71">
        <v>45</v>
      </c>
      <c r="C71" s="70" t="s">
        <v>88</v>
      </c>
      <c r="D71" s="70" t="s">
        <v>82</v>
      </c>
      <c r="E71" s="70" t="s">
        <v>80</v>
      </c>
      <c r="F71" s="3"/>
      <c r="G71" s="72">
        <v>10000</v>
      </c>
      <c r="H71" s="72">
        <v>8493</v>
      </c>
      <c r="I71" s="72">
        <v>764</v>
      </c>
      <c r="J71" s="72">
        <v>423</v>
      </c>
      <c r="K71" s="72">
        <v>320</v>
      </c>
      <c r="L71" s="73">
        <f>(1039.5*1)+(418.5*2)</f>
        <v>1876.5</v>
      </c>
      <c r="M71" s="184"/>
      <c r="N71" s="91">
        <f t="shared" si="629"/>
        <v>0.18765000000000001</v>
      </c>
      <c r="O71" s="124">
        <f t="shared" si="630"/>
        <v>2886.9230769230767</v>
      </c>
      <c r="P71" s="124">
        <f t="shared" si="631"/>
        <v>2309.5384615384614</v>
      </c>
      <c r="Q71" s="124">
        <f t="shared" si="706"/>
        <v>1154.7692307692307</v>
      </c>
      <c r="R71" s="124">
        <f t="shared" si="632"/>
        <v>923.81538461538457</v>
      </c>
      <c r="S71" s="72">
        <f t="shared" si="4"/>
        <v>3464.3076923076924</v>
      </c>
      <c r="T71" s="3"/>
      <c r="U71" s="77">
        <f t="shared" si="633"/>
        <v>1876.5</v>
      </c>
      <c r="V71" s="78">
        <f t="shared" si="634"/>
        <v>0.18765000000000001</v>
      </c>
      <c r="W71" s="111">
        <f t="shared" si="635"/>
        <v>0.93825000000000003</v>
      </c>
      <c r="X71" s="32"/>
      <c r="Y71" s="79">
        <v>5</v>
      </c>
      <c r="Z71" s="77">
        <f t="shared" si="636"/>
        <v>9382.5</v>
      </c>
      <c r="AA71" s="77">
        <f t="shared" si="637"/>
        <v>7506</v>
      </c>
      <c r="AB71" s="77">
        <f t="shared" si="638"/>
        <v>10537.26923076923</v>
      </c>
      <c r="AC71" s="77">
        <f t="shared" si="639"/>
        <v>8956.6788461538454</v>
      </c>
      <c r="AD71" s="77">
        <f t="shared" si="640"/>
        <v>7506</v>
      </c>
      <c r="AE71" s="77">
        <f t="shared" si="641"/>
        <v>240.57692307692307</v>
      </c>
      <c r="AF71" s="77">
        <f t="shared" si="642"/>
        <v>7265.4230769230771</v>
      </c>
      <c r="AG71" s="3"/>
      <c r="AH71" s="77">
        <f t="shared" si="14"/>
        <v>1876.5</v>
      </c>
      <c r="AI71" s="77">
        <f t="shared" si="643"/>
        <v>1876.5</v>
      </c>
      <c r="AJ71" s="73">
        <f>(2715*1)+(1335*2)</f>
        <v>5385</v>
      </c>
      <c r="AK71" s="77">
        <f t="shared" si="644"/>
        <v>9138</v>
      </c>
      <c r="AL71" s="73">
        <f>(15592.5*1)+(6277.5*2)</f>
        <v>28147.5</v>
      </c>
      <c r="AM71" s="80">
        <f t="shared" si="645"/>
        <v>0.32464694910738079</v>
      </c>
      <c r="AN71" s="32"/>
      <c r="AO71" s="72">
        <v>90</v>
      </c>
      <c r="AP71" s="81">
        <f>13.5*3</f>
        <v>40.5</v>
      </c>
      <c r="AQ71" s="82">
        <f t="shared" si="646"/>
        <v>130.5</v>
      </c>
      <c r="AR71" s="3"/>
      <c r="AS71" s="82">
        <v>3</v>
      </c>
      <c r="AT71" s="3"/>
      <c r="AU71" s="77">
        <v>41</v>
      </c>
      <c r="AV71" s="77">
        <v>78</v>
      </c>
      <c r="AW71" s="77">
        <v>121</v>
      </c>
      <c r="AX71" s="83">
        <f t="shared" si="647"/>
        <v>183.07317073170731</v>
      </c>
      <c r="AY71" s="83">
        <f t="shared" si="648"/>
        <v>96.230769230769226</v>
      </c>
      <c r="AZ71" s="83">
        <f t="shared" si="649"/>
        <v>10.25</v>
      </c>
      <c r="BA71" s="83">
        <f t="shared" si="650"/>
        <v>19.5</v>
      </c>
      <c r="BB71" s="3"/>
      <c r="BC71" s="77" t="s">
        <v>89</v>
      </c>
      <c r="BD71" s="77">
        <f t="shared" si="651"/>
        <v>1876.5</v>
      </c>
      <c r="BE71" s="77">
        <f t="shared" si="652"/>
        <v>7952.8634615384608</v>
      </c>
      <c r="BF71" s="77" t="e" vm="1">
        <f>'[1]4 - Flächen'!AJ71</f>
        <v>#VALUE!</v>
      </c>
      <c r="BG71" s="77" t="e" vm="2">
        <f t="shared" si="653"/>
        <v>#VALUE!</v>
      </c>
      <c r="BH71" s="77">
        <f t="shared" si="654"/>
        <v>1154.7692307692307</v>
      </c>
      <c r="BI71" s="77" t="e" vm="2">
        <f t="shared" si="655"/>
        <v>#VALUE!</v>
      </c>
      <c r="BJ71" s="77">
        <f t="shared" si="656"/>
        <v>102.23076923076923</v>
      </c>
      <c r="BK71" s="85">
        <v>0.18</v>
      </c>
      <c r="BL71" s="77">
        <f t="shared" si="657"/>
        <v>1351.08</v>
      </c>
      <c r="BM71" s="77">
        <f t="shared" si="658"/>
        <v>5035.7561538461532</v>
      </c>
      <c r="BN71" s="77">
        <f t="shared" si="659"/>
        <v>5100.2307692307686</v>
      </c>
      <c r="BO71" s="77">
        <f t="shared" si="660"/>
        <v>769.84615384615381</v>
      </c>
      <c r="BP71" s="77" cm="1">
        <f t="array" ref="BP71">BE71 - _xlfn.IFS(
    _xlfn.XOR(Y71 &lt; 2.5, Y71 = 2.5), 0.5 * AH71,
    _xlfn.XOR(Y71 &lt; 2.5, Y71 = 2.5) = FALSE, 0
)</f>
        <v>7952.8634615384608</v>
      </c>
      <c r="BQ71" s="77">
        <f>8*Y71</f>
        <v>40</v>
      </c>
      <c r="BR71" s="77" t="e" vm="1">
        <f>'[1]4 - Flächen'!AI71</f>
        <v>#VALUE!</v>
      </c>
      <c r="BS71" s="26"/>
      <c r="BT71" s="77">
        <f t="shared" si="662"/>
        <v>4203.3600000000006</v>
      </c>
      <c r="BU71" s="77">
        <f t="shared" si="663"/>
        <v>42859.26</v>
      </c>
      <c r="BV71" s="77">
        <f t="shared" si="664"/>
        <v>5485.1538461538457</v>
      </c>
      <c r="BW71" s="77">
        <f t="shared" si="665"/>
        <v>2694.4615384615381</v>
      </c>
      <c r="BX71" s="77"/>
      <c r="BY71" s="77">
        <f t="shared" si="707"/>
        <v>8</v>
      </c>
      <c r="BZ71" s="3"/>
      <c r="CA71" s="86">
        <f t="shared" si="667"/>
        <v>94245.335999999996</v>
      </c>
      <c r="CB71" s="89">
        <v>15</v>
      </c>
      <c r="CC71" s="86">
        <f t="shared" si="668"/>
        <v>112605</v>
      </c>
      <c r="CD71" s="87">
        <f t="shared" si="669"/>
        <v>59.259607065609231</v>
      </c>
      <c r="CE71" s="88">
        <f t="shared" si="670"/>
        <v>0.18353543873551348</v>
      </c>
      <c r="CF71" s="86" t="e">
        <f t="shared" si="671"/>
        <v>#DIV/0!</v>
      </c>
      <c r="CG71" s="86">
        <f>0.4047602873*AC71</f>
        <v>3625.3079030230633</v>
      </c>
      <c r="CH71" s="89">
        <v>30</v>
      </c>
      <c r="CI71" s="86">
        <f t="shared" si="672"/>
        <v>225195</v>
      </c>
      <c r="CJ71" s="87">
        <f t="shared" si="673"/>
        <v>118.51750180245133</v>
      </c>
      <c r="CK71" s="88">
        <f t="shared" si="674"/>
        <v>0.20908539587342309</v>
      </c>
      <c r="CL71" s="86" t="e">
        <f t="shared" si="675"/>
        <v>#DIV/0!</v>
      </c>
      <c r="CM71" s="125">
        <f>0.461106942*AC71</f>
        <v>4129.9867932260886</v>
      </c>
      <c r="CN71" s="89">
        <v>70</v>
      </c>
      <c r="CO71" s="86">
        <f t="shared" si="676"/>
        <v>525435</v>
      </c>
      <c r="CP71" s="87">
        <f t="shared" si="677"/>
        <v>276.53855443403023</v>
      </c>
      <c r="CQ71" s="88">
        <f t="shared" si="678"/>
        <v>0.25866009913342503</v>
      </c>
      <c r="CR71" s="86" t="e">
        <f t="shared" si="679"/>
        <v>#DIV/0!</v>
      </c>
      <c r="CS71" s="86">
        <f>0.5704366239*AC71</f>
        <v>5109.2176423565479</v>
      </c>
      <c r="CT71" s="90">
        <v>3.05</v>
      </c>
      <c r="CU71" s="3"/>
      <c r="CV71" s="86">
        <f t="shared" si="680"/>
        <v>94245.335999999996</v>
      </c>
      <c r="CW71" s="86">
        <v>15</v>
      </c>
      <c r="CX71" s="86">
        <f t="shared" si="681"/>
        <v>112605</v>
      </c>
      <c r="CY71" s="87">
        <f t="shared" si="682"/>
        <v>59.259607065609231</v>
      </c>
      <c r="CZ71" s="88">
        <f t="shared" si="683"/>
        <v>1.4656326848383556</v>
      </c>
      <c r="DA71" s="86" t="e">
        <f t="shared" si="684"/>
        <v>#DIV/0!</v>
      </c>
      <c r="DB71" s="72">
        <f>3.2322362955*AC71</f>
        <v>28950.102453675518</v>
      </c>
      <c r="DC71" s="89">
        <v>30</v>
      </c>
      <c r="DD71" s="86">
        <f t="shared" si="685"/>
        <v>225195</v>
      </c>
      <c r="DE71" s="87">
        <f t="shared" si="686"/>
        <v>118.51750180245133</v>
      </c>
      <c r="DF71" s="88">
        <f t="shared" si="687"/>
        <v>1.5008940384615383</v>
      </c>
      <c r="DG71" s="86" t="e">
        <f t="shared" si="688"/>
        <v>#DIV/0!</v>
      </c>
      <c r="DH71" s="86">
        <f>3.31*AC71</f>
        <v>29646.606980769229</v>
      </c>
      <c r="DI71" s="89">
        <v>70</v>
      </c>
      <c r="DJ71" s="86">
        <f t="shared" si="689"/>
        <v>525435</v>
      </c>
      <c r="DK71" s="87">
        <f t="shared" si="690"/>
        <v>276.53855443403023</v>
      </c>
      <c r="DL71" s="88">
        <f t="shared" si="691"/>
        <v>1.580873630693898</v>
      </c>
      <c r="DM71" s="86" t="e">
        <f t="shared" si="692"/>
        <v>#DIV/0!</v>
      </c>
      <c r="DN71" s="86">
        <f>3.4863831713*AC71</f>
        <v>31226.414399969468</v>
      </c>
      <c r="DO71" s="90">
        <v>3.9</v>
      </c>
      <c r="DP71" s="7"/>
      <c r="DQ71" s="86">
        <f t="shared" si="693"/>
        <v>94245.335999999996</v>
      </c>
      <c r="DR71" s="86">
        <v>15</v>
      </c>
      <c r="DS71" s="86">
        <f t="shared" si="694"/>
        <v>112605</v>
      </c>
      <c r="DT71" s="87">
        <f t="shared" si="695"/>
        <v>59.259607065609231</v>
      </c>
      <c r="DU71" s="88">
        <f t="shared" si="696"/>
        <v>0.100718693142527</v>
      </c>
      <c r="DV71" s="86">
        <f t="shared" si="697"/>
        <v>65.844007850676917</v>
      </c>
      <c r="DW71" s="86">
        <f>0.4199287241*AC71</f>
        <v>3761.1667200388442</v>
      </c>
      <c r="DX71" s="89">
        <v>30</v>
      </c>
      <c r="DY71" s="86">
        <f t="shared" si="698"/>
        <v>225195</v>
      </c>
      <c r="DZ71" s="87">
        <f t="shared" si="699"/>
        <v>118.51750180245133</v>
      </c>
      <c r="EA71" s="88">
        <f t="shared" si="700"/>
        <v>0.13561283609358374</v>
      </c>
      <c r="EB71" s="86">
        <f t="shared" si="701"/>
        <v>131.68611311383481</v>
      </c>
      <c r="EC71" s="86">
        <f>0.5654136631*AC71</f>
        <v>5064.2285956141268</v>
      </c>
      <c r="ED71" s="89">
        <v>70</v>
      </c>
      <c r="EE71" s="86">
        <f t="shared" si="702"/>
        <v>525435</v>
      </c>
      <c r="EF71" s="87">
        <f t="shared" si="703"/>
        <v>276.53855443403023</v>
      </c>
      <c r="EG71" s="88">
        <f t="shared" si="704"/>
        <v>0.15198477733230747</v>
      </c>
      <c r="EH71" s="86">
        <f t="shared" si="705"/>
        <v>307.26506048225582</v>
      </c>
      <c r="EI71" s="86">
        <f>0.6336735678*AC71</f>
        <v>5675.6106400810941</v>
      </c>
      <c r="EJ71" s="90">
        <v>3.9</v>
      </c>
    </row>
    <row r="72" spans="1:140">
      <c r="A72" s="20" t="str">
        <f t="shared" si="0"/>
        <v/>
      </c>
      <c r="B72" s="92"/>
      <c r="C72" s="20"/>
      <c r="D72" s="20"/>
      <c r="E72" s="20"/>
      <c r="F72" s="3"/>
      <c r="G72" s="93"/>
      <c r="H72" s="93"/>
      <c r="I72" s="93"/>
      <c r="J72" s="93"/>
      <c r="K72" s="93"/>
      <c r="L72" s="93"/>
      <c r="M72" s="94"/>
      <c r="N72" s="95"/>
      <c r="O72" s="93"/>
      <c r="P72" s="94"/>
      <c r="Q72" s="21"/>
      <c r="R72" s="94"/>
      <c r="S72" s="21">
        <f t="shared" si="4"/>
        <v>0</v>
      </c>
      <c r="T72" s="3"/>
      <c r="U72" s="34"/>
      <c r="V72" s="96"/>
      <c r="W72" s="96"/>
      <c r="X72" s="28"/>
      <c r="Y72" s="28"/>
      <c r="Z72" s="34"/>
      <c r="AA72" s="34"/>
      <c r="AB72" s="34"/>
      <c r="AC72" s="26">
        <f>Z72*(1-0.15)</f>
        <v>0</v>
      </c>
      <c r="AD72" s="34"/>
      <c r="AE72" s="34"/>
      <c r="AF72" s="34"/>
      <c r="AG72" s="3"/>
      <c r="AH72" s="34">
        <f t="shared" si="14"/>
        <v>0</v>
      </c>
      <c r="AI72" s="93"/>
      <c r="AJ72" s="34"/>
      <c r="AK72" s="34"/>
      <c r="AL72" s="34"/>
      <c r="AM72" s="117"/>
      <c r="AN72" s="28"/>
      <c r="AO72" s="93"/>
      <c r="AP72" s="98"/>
      <c r="AQ72" s="99"/>
      <c r="AR72" s="3"/>
      <c r="AS72" s="34"/>
      <c r="AT72" s="3"/>
      <c r="AU72" s="99"/>
      <c r="AV72" s="34"/>
      <c r="AW72" s="34"/>
      <c r="AX72" s="99"/>
      <c r="AY72" s="99"/>
      <c r="AZ72" s="11"/>
      <c r="BA72" s="3"/>
      <c r="BB72" s="3"/>
      <c r="BC72" s="11"/>
      <c r="BD72" s="11"/>
      <c r="BE72" s="11"/>
      <c r="BF72" s="11"/>
      <c r="BG72" s="11"/>
      <c r="BH72" s="11"/>
      <c r="BI72" s="11"/>
      <c r="BJ72" s="100">
        <f>AS72+AY72</f>
        <v>0</v>
      </c>
      <c r="BK72" s="101"/>
      <c r="BL72" s="11"/>
      <c r="BM72" s="11"/>
      <c r="BN72" s="11">
        <f>(65-(6*1.8))*AY72</f>
        <v>0</v>
      </c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3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102"/>
      <c r="CO72" s="7"/>
      <c r="CP72" s="7"/>
      <c r="CQ72" s="7"/>
      <c r="CR72" s="103"/>
      <c r="CS72" s="103"/>
      <c r="CT72" s="103"/>
      <c r="CU72" s="3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102"/>
      <c r="DH72" s="102"/>
      <c r="DI72" s="102"/>
      <c r="DJ72" s="102"/>
      <c r="DK72" s="7"/>
      <c r="DL72" s="7"/>
      <c r="DM72" s="103"/>
      <c r="DN72" s="102"/>
      <c r="DO72" s="104"/>
      <c r="DP72" s="7"/>
      <c r="DQ72" s="7"/>
      <c r="DR72" s="7"/>
      <c r="DS72" s="7"/>
      <c r="DT72" s="7"/>
      <c r="DU72" s="7"/>
      <c r="DV72" s="7"/>
      <c r="DW72" s="102"/>
      <c r="DX72" s="7"/>
      <c r="DY72" s="7"/>
      <c r="DZ72" s="7"/>
      <c r="EA72" s="7"/>
      <c r="EB72" s="7"/>
      <c r="EC72" s="102"/>
      <c r="ED72" s="102"/>
      <c r="EE72" s="7"/>
      <c r="EF72" s="7"/>
      <c r="EG72" s="7"/>
      <c r="EH72" s="7"/>
      <c r="EI72" s="102"/>
      <c r="EJ72" s="7"/>
    </row>
    <row r="73" spans="1:140">
      <c r="A73" s="18" t="str">
        <f t="shared" si="0"/>
        <v>ZgGi</v>
      </c>
      <c r="B73" s="19">
        <v>500</v>
      </c>
      <c r="C73" s="18" t="s">
        <v>88</v>
      </c>
      <c r="D73" s="18" t="s">
        <v>76</v>
      </c>
      <c r="E73" s="18" t="s">
        <v>83</v>
      </c>
      <c r="F73" s="3"/>
      <c r="G73" s="21">
        <v>60000</v>
      </c>
      <c r="H73" s="21">
        <f t="shared" ref="H73:L73" si="708">H63*6</f>
        <v>43350</v>
      </c>
      <c r="I73" s="21">
        <f t="shared" si="708"/>
        <v>6984</v>
      </c>
      <c r="J73" s="21">
        <f t="shared" si="708"/>
        <v>5586</v>
      </c>
      <c r="K73" s="21">
        <f t="shared" si="708"/>
        <v>4080</v>
      </c>
      <c r="L73" s="21">
        <f t="shared" si="708"/>
        <v>12474</v>
      </c>
      <c r="M73" s="118"/>
      <c r="N73" s="23">
        <f t="shared" ref="N73:N81" si="709">(L73+M73)/G73</f>
        <v>0.2079</v>
      </c>
      <c r="O73" s="21">
        <f t="shared" ref="O73:O81" si="710">30*AY73</f>
        <v>11514.461538461539</v>
      </c>
      <c r="P73" s="21">
        <f t="shared" ref="P73:P81" si="711">O73*0.8</f>
        <v>9211.5692307692316</v>
      </c>
      <c r="Q73" s="21">
        <f t="shared" ref="Q73:Q81" si="712">AY73*12</f>
        <v>4605.7846153846158</v>
      </c>
      <c r="R73" s="21">
        <f t="shared" ref="R73:R81" si="713">Q73*0.8</f>
        <v>3684.627692307693</v>
      </c>
      <c r="S73" s="21">
        <f t="shared" si="4"/>
        <v>13817.353846153848</v>
      </c>
      <c r="T73" s="3"/>
      <c r="U73" s="26">
        <f t="shared" ref="U73:U81" si="714">L73</f>
        <v>12474</v>
      </c>
      <c r="V73" s="27">
        <f t="shared" ref="V73:V81" si="715">U73/G73</f>
        <v>0.2079</v>
      </c>
      <c r="W73" s="108">
        <f t="shared" ref="W73:W81" si="716">Z73/G73</f>
        <v>0.62370000000000003</v>
      </c>
      <c r="X73" s="32"/>
      <c r="Y73" s="29">
        <v>3</v>
      </c>
      <c r="Z73" s="26">
        <f t="shared" ref="Z73:Z81" si="717">(L73*Y73)+M73</f>
        <v>37422</v>
      </c>
      <c r="AA73" s="26">
        <f t="shared" ref="AA73:AA81" si="718">Z73*0.8</f>
        <v>29937.600000000002</v>
      </c>
      <c r="AB73" s="26">
        <f t="shared" ref="AB73:AB81" si="719">(L73*Y73)+BH73</f>
        <v>42027.784615384619</v>
      </c>
      <c r="AC73" s="21">
        <f>AC63*6</f>
        <v>35723.616923076923</v>
      </c>
      <c r="AD73" s="26">
        <f t="shared" ref="AD73:AD81" si="720">((L73*Y73)*0.8)</f>
        <v>29937.600000000002</v>
      </c>
      <c r="AE73" s="26">
        <f t="shared" ref="AE73:AE81" si="721">2.5*AY73</f>
        <v>959.53846153846155</v>
      </c>
      <c r="AF73" s="26">
        <f t="shared" ref="AF73:AF81" si="722">AD73-AE73</f>
        <v>28978.061538461541</v>
      </c>
      <c r="AG73" s="3"/>
      <c r="AH73" s="26">
        <f t="shared" si="14"/>
        <v>12474</v>
      </c>
      <c r="AI73" s="26">
        <f t="shared" ref="AI73:AL73" si="723">AI63*6</f>
        <v>12474</v>
      </c>
      <c r="AJ73" s="26">
        <f t="shared" si="723"/>
        <v>19548</v>
      </c>
      <c r="AK73" s="26">
        <f t="shared" si="723"/>
        <v>44496</v>
      </c>
      <c r="AL73" s="26">
        <f t="shared" si="723"/>
        <v>112266</v>
      </c>
      <c r="AM73" s="31">
        <f t="shared" ref="AM73:AM81" si="724">AK73/AL73</f>
        <v>0.39634439634439633</v>
      </c>
      <c r="AN73" s="28"/>
      <c r="AO73" s="21">
        <f t="shared" ref="AO73:AP73" si="725">AO63*6</f>
        <v>1200</v>
      </c>
      <c r="AP73" s="114">
        <f t="shared" si="725"/>
        <v>162</v>
      </c>
      <c r="AQ73" s="26">
        <f t="shared" ref="AQ73:AQ81" si="726">AO73+AP73</f>
        <v>1362</v>
      </c>
      <c r="AR73" s="3"/>
      <c r="AS73" s="21">
        <f>AS63*6</f>
        <v>12</v>
      </c>
      <c r="AT73" s="3"/>
      <c r="AU73" s="26">
        <v>41</v>
      </c>
      <c r="AV73" s="26">
        <v>78</v>
      </c>
      <c r="AW73" s="26">
        <v>121</v>
      </c>
      <c r="AX73" s="35">
        <f>AX63*6</f>
        <v>730.1853658536586</v>
      </c>
      <c r="AY73" s="35">
        <f t="shared" ref="AY73:AY81" si="727">AD73/AV73</f>
        <v>383.81538461538463</v>
      </c>
      <c r="AZ73" s="35">
        <f t="shared" ref="AZ73:AZ81" si="728">L73/AX73</f>
        <v>17.083333333333332</v>
      </c>
      <c r="BA73" s="35">
        <f t="shared" ref="BA73:BA81" si="729">L73/AY73</f>
        <v>32.5</v>
      </c>
      <c r="BB73" s="3"/>
      <c r="BC73" s="37" t="s">
        <v>89</v>
      </c>
      <c r="BD73" s="26">
        <f t="shared" ref="BD73:BD81" si="730">AH73</f>
        <v>12474</v>
      </c>
      <c r="BE73" s="21">
        <f t="shared" ref="BE73:BF73" si="731">BE63*6</f>
        <v>31750.989230769228</v>
      </c>
      <c r="BF73" s="21" t="e" vm="2">
        <f t="shared" si="731"/>
        <v>#VALUE!</v>
      </c>
      <c r="BG73" s="26" t="e" vm="2">
        <f t="shared" ref="BG73:BG81" si="732">BF73-BL73-((2.2*1.1)*BJ73)</f>
        <v>#VALUE!</v>
      </c>
      <c r="BH73" s="26">
        <f t="shared" ref="BH73:BH81" si="733">Q73</f>
        <v>4605.7846153846158</v>
      </c>
      <c r="BI73" s="21" t="e" vm="2">
        <f t="shared" ref="BI73:BJ73" si="734">BI63*6</f>
        <v>#VALUE!</v>
      </c>
      <c r="BJ73" s="21">
        <f t="shared" si="734"/>
        <v>407.81538461538469</v>
      </c>
      <c r="BK73" s="39">
        <v>0.18</v>
      </c>
      <c r="BL73" s="21">
        <f t="shared" ref="BL73:BR73" si="735">BL63*6</f>
        <v>5388.768</v>
      </c>
      <c r="BM73" s="21">
        <f t="shared" si="735"/>
        <v>20085.059076923077</v>
      </c>
      <c r="BN73" s="21">
        <f t="shared" si="735"/>
        <v>20342.215384615389</v>
      </c>
      <c r="BO73" s="21">
        <f t="shared" si="735"/>
        <v>3070.5230769230775</v>
      </c>
      <c r="BP73" s="21">
        <f t="shared" si="735"/>
        <v>31750.989230769228</v>
      </c>
      <c r="BQ73" s="21">
        <f t="shared" si="735"/>
        <v>144</v>
      </c>
      <c r="BR73" s="21" t="e" vm="2">
        <f t="shared" si="735"/>
        <v>#VALUE!</v>
      </c>
      <c r="BS73" s="26"/>
      <c r="BT73" s="21">
        <f t="shared" ref="BT73:BW73" si="736">BT63*6</f>
        <v>16765.056000000004</v>
      </c>
      <c r="BU73" s="21">
        <f t="shared" si="736"/>
        <v>170943.696</v>
      </c>
      <c r="BV73" s="21">
        <f t="shared" si="736"/>
        <v>21877.476923076927</v>
      </c>
      <c r="BW73" s="21">
        <f t="shared" si="736"/>
        <v>10746.830769230772</v>
      </c>
      <c r="BX73" s="21"/>
      <c r="BY73" s="21">
        <f>BY63*6</f>
        <v>0</v>
      </c>
      <c r="BZ73" s="3"/>
      <c r="CA73" s="40">
        <f t="shared" ref="CA73:CA81" si="737">(34.4*365*$AD73)/1000</f>
        <v>375896.50560000003</v>
      </c>
      <c r="CB73" s="43">
        <v>15</v>
      </c>
      <c r="CC73" s="40">
        <f t="shared" ref="CC73:CC81" si="738">$AD73*CB73+($CB73)</f>
        <v>449079.00000000006</v>
      </c>
      <c r="CD73" s="41">
        <f t="shared" ref="CD73:CD81" si="739">((CC73-$CB73)/1900)+($CB73/8760)</f>
        <v>236.35118601297768</v>
      </c>
      <c r="CE73" s="42">
        <f t="shared" ref="CE73:CE81" si="740">((380*$CG73)/1000)/$AD73</f>
        <v>0.18847634037481345</v>
      </c>
      <c r="CF73" s="40" t="e">
        <f t="shared" ref="CF73:CF81" si="741">$CD73/$CU73</f>
        <v>#DIV/0!</v>
      </c>
      <c r="CG73" s="21">
        <f>CG63*6</f>
        <v>14848.761283171094</v>
      </c>
      <c r="CH73" s="43">
        <v>30</v>
      </c>
      <c r="CI73" s="40">
        <f t="shared" ref="CI73:CI81" si="742">$AD73*CH73+($CB73)</f>
        <v>898143.00000000012</v>
      </c>
      <c r="CJ73" s="41">
        <f t="shared" ref="CJ73:CJ81" si="743">((CI73-$CB73)/1900)+($CB73/8760)</f>
        <v>472.7006596971882</v>
      </c>
      <c r="CK73" s="42">
        <f t="shared" ref="CK73:CK81" si="744">((380*$CM73)/1000)/$AD73</f>
        <v>0.2376203495301269</v>
      </c>
      <c r="CL73" s="40" t="e">
        <f t="shared" ref="CL73:CL81" si="745">$CJ73/$CU73</f>
        <v>#DIV/0!</v>
      </c>
      <c r="CM73" s="21">
        <f>CM63*6</f>
        <v>18720.481516034546</v>
      </c>
      <c r="CN73" s="43">
        <v>70</v>
      </c>
      <c r="CO73" s="40">
        <f t="shared" ref="CO73:CO81" si="746">$AD73*CN73+($CB73)</f>
        <v>2095647.0000000002</v>
      </c>
      <c r="CP73" s="41">
        <f t="shared" ref="CP73:CP81" si="747">((CO73-$CB73)/1900)+($CB73/8760)</f>
        <v>1102.9659228550829</v>
      </c>
      <c r="CQ73" s="42">
        <f t="shared" ref="CQ73:CQ81" si="748">((380*$CS73)/1000)/$AD73</f>
        <v>0.29533371351544613</v>
      </c>
      <c r="CR73" s="40" t="e">
        <f t="shared" ref="CR73:CR81" si="749">$CP73/$CU73</f>
        <v>#DIV/0!</v>
      </c>
      <c r="CS73" s="21">
        <f>CS63*6</f>
        <v>23267.322583526369</v>
      </c>
      <c r="CT73" s="44">
        <v>3.05</v>
      </c>
      <c r="CU73" s="3"/>
      <c r="CV73" s="40">
        <f t="shared" ref="CV73:CV81" si="750">(34.4*365*$AD73)/1000</f>
        <v>375896.50560000003</v>
      </c>
      <c r="CW73" s="40">
        <v>15</v>
      </c>
      <c r="CX73" s="40">
        <f t="shared" ref="CX73:CX81" si="751">$AD73*CW73+($CW73)</f>
        <v>449079.00000000006</v>
      </c>
      <c r="CY73" s="41">
        <f t="shared" ref="CY73:CY81" si="752">((CX73-$CW73)/1900)+($CW73/8760)</f>
        <v>236.35118601297768</v>
      </c>
      <c r="CZ73" s="42">
        <f t="shared" ref="CZ73:CZ81" si="753">((380*$DB73)/1000)/$AD73</f>
        <v>2.1209962680176404</v>
      </c>
      <c r="DA73" s="40" t="e">
        <f t="shared" ref="DA73:DA81" si="754">$CY73/$DP73</f>
        <v>#DIV/0!</v>
      </c>
      <c r="DB73" s="21">
        <f>DB63*6</f>
        <v>167098.78387738136</v>
      </c>
      <c r="DC73" s="43">
        <v>30</v>
      </c>
      <c r="DD73" s="40">
        <f t="shared" ref="DD73:DD81" si="755">$AD73*DC73+($CW73)</f>
        <v>898143.00000000012</v>
      </c>
      <c r="DE73" s="41">
        <f t="shared" ref="DE73:DE81" si="756">((DD73-$CW73)/1900)+($CW73/8760)</f>
        <v>472.7006596971882</v>
      </c>
      <c r="DF73" s="42">
        <f t="shared" ref="DF73:DF81" si="757">((380*$DH73)/1000)/$AD73</f>
        <v>2.1810574999999996</v>
      </c>
      <c r="DG73" s="40" t="e">
        <f t="shared" ref="DG73:DG81" si="758">$DE73/$DP73</f>
        <v>#DIV/0!</v>
      </c>
      <c r="DH73" s="21">
        <f>DH63*6</f>
        <v>171830.59739999997</v>
      </c>
      <c r="DI73" s="43">
        <v>70</v>
      </c>
      <c r="DJ73" s="40">
        <f t="shared" ref="DJ73:DJ81" si="759">$AD73*DI73+($CW73)</f>
        <v>2095647.0000000002</v>
      </c>
      <c r="DK73" s="41">
        <f t="shared" ref="DK73:DK81" si="760">((DJ73-$CW73)/1900)+($CW73/8760)</f>
        <v>1102.9659228550829</v>
      </c>
      <c r="DL73" s="42">
        <f t="shared" ref="DL73:DL81" si="761">((380*$DN73)/1000)/$AD73</f>
        <v>2.2733449088030784</v>
      </c>
      <c r="DM73" s="40" t="e">
        <f t="shared" ref="DM73:DM81" si="762">$DK73/$DP73</f>
        <v>#DIV/0!</v>
      </c>
      <c r="DN73" s="21">
        <f>DN63*6</f>
        <v>179101.29089942909</v>
      </c>
      <c r="DO73" s="44">
        <v>3.9</v>
      </c>
      <c r="DP73" s="7"/>
      <c r="DQ73" s="40">
        <f t="shared" ref="DQ73:DQ81" si="763">(34.4*365*$AD73)/1000</f>
        <v>375896.50560000003</v>
      </c>
      <c r="DR73" s="40">
        <v>15</v>
      </c>
      <c r="DS73" s="40">
        <f t="shared" ref="DS73:DS81" si="764">$AD73*DR73+($DR73)</f>
        <v>449079.00000000006</v>
      </c>
      <c r="DT73" s="41">
        <f t="shared" ref="DT73:DT81" si="765">((DS73-$DR73)/1900)+($DR73/8760)</f>
        <v>236.35118601297768</v>
      </c>
      <c r="DU73" s="42">
        <f t="shared" ref="DU73:DU81" si="766">((201*$DW73)/1000)/$AD73</f>
        <v>0.10294030561456846</v>
      </c>
      <c r="DV73" s="40">
        <f t="shared" ref="DV73:DV81" si="767">$DT73/0.9</f>
        <v>262.61242890330851</v>
      </c>
      <c r="DW73" s="21">
        <f>DW63*6</f>
        <v>15332.267131177636</v>
      </c>
      <c r="DX73" s="43">
        <v>30</v>
      </c>
      <c r="DY73" s="40">
        <f t="shared" ref="DY73:DY81" si="768">$AD73*DX73+($DR73)</f>
        <v>898143.00000000012</v>
      </c>
      <c r="DZ73" s="41">
        <f t="shared" ref="DZ73:DZ81" si="769">((DY73-$DR73)/1900)+($DR73/8760)</f>
        <v>472.7006596971882</v>
      </c>
      <c r="EA73" s="42">
        <f t="shared" ref="EA73:EA81" si="770">((201*$EC73)/1000)/$AD73</f>
        <v>0.17120759268779076</v>
      </c>
      <c r="EB73" s="40">
        <f t="shared" ref="EB73:EB81" si="771">$DZ73/0.9</f>
        <v>525.22295521909803</v>
      </c>
      <c r="EC73" s="21">
        <f>EC63*6</f>
        <v>25500.221029104501</v>
      </c>
      <c r="ED73" s="43">
        <v>70</v>
      </c>
      <c r="EE73" s="40">
        <f t="shared" ref="EE73:EE81" si="772">$AD73*ED73+($DR73)</f>
        <v>2095647.0000000002</v>
      </c>
      <c r="EF73" s="41">
        <f t="shared" ref="EF73:EF81" si="773">((EE73-$DR73)/1900)+($DR73/8760)</f>
        <v>1102.9659228550829</v>
      </c>
      <c r="EG73" s="42">
        <f t="shared" ref="EG73:EG81" si="774">((201*$EI73)/1000)/$AD73</f>
        <v>0.18943242324001955</v>
      </c>
      <c r="EH73" s="40">
        <f t="shared" ref="EH73:EH81" si="775">$EF73/0.9</f>
        <v>1225.5176920612032</v>
      </c>
      <c r="EI73" s="21">
        <f>EI63*6</f>
        <v>28214.687134280648</v>
      </c>
      <c r="EJ73" s="44">
        <v>3.9</v>
      </c>
    </row>
    <row r="74" spans="1:140">
      <c r="A74" s="18" t="str">
        <f t="shared" si="0"/>
        <v>ZgSc</v>
      </c>
      <c r="B74" s="19">
        <v>501</v>
      </c>
      <c r="C74" s="18" t="s">
        <v>88</v>
      </c>
      <c r="D74" s="18" t="s">
        <v>76</v>
      </c>
      <c r="E74" s="18" t="s">
        <v>84</v>
      </c>
      <c r="F74" s="3"/>
      <c r="G74" s="21">
        <v>60000</v>
      </c>
      <c r="H74" s="21">
        <f t="shared" ref="H74:L74" si="776">(H64*4)+(H63*2)</f>
        <v>48450</v>
      </c>
      <c r="I74" s="21">
        <f t="shared" si="776"/>
        <v>4728</v>
      </c>
      <c r="J74" s="21">
        <f t="shared" si="776"/>
        <v>4102</v>
      </c>
      <c r="K74" s="21">
        <f t="shared" si="776"/>
        <v>2720</v>
      </c>
      <c r="L74" s="21">
        <f t="shared" si="776"/>
        <v>10395</v>
      </c>
      <c r="M74" s="177"/>
      <c r="N74" s="23">
        <f t="shared" si="709"/>
        <v>0.17324999999999999</v>
      </c>
      <c r="O74" s="21">
        <f t="shared" si="710"/>
        <v>9595.3846153846152</v>
      </c>
      <c r="P74" s="21">
        <f t="shared" si="711"/>
        <v>7676.3076923076924</v>
      </c>
      <c r="Q74" s="21">
        <f t="shared" si="712"/>
        <v>3838.1538461538466</v>
      </c>
      <c r="R74" s="21">
        <f t="shared" si="713"/>
        <v>3070.5230769230775</v>
      </c>
      <c r="S74" s="21">
        <f t="shared" si="4"/>
        <v>11514.461538461539</v>
      </c>
      <c r="T74" s="3"/>
      <c r="U74" s="26">
        <f t="shared" si="714"/>
        <v>10395</v>
      </c>
      <c r="V74" s="27">
        <f t="shared" si="715"/>
        <v>0.17324999999999999</v>
      </c>
      <c r="W74" s="108">
        <f t="shared" si="716"/>
        <v>0.51975000000000005</v>
      </c>
      <c r="X74" s="32"/>
      <c r="Y74" s="29">
        <v>3</v>
      </c>
      <c r="Z74" s="26">
        <f t="shared" si="717"/>
        <v>31185</v>
      </c>
      <c r="AA74" s="26">
        <f t="shared" si="718"/>
        <v>24948</v>
      </c>
      <c r="AB74" s="26">
        <f t="shared" si="719"/>
        <v>35023.153846153844</v>
      </c>
      <c r="AC74" s="21">
        <f>(AC64*4)+(AC63*2)</f>
        <v>29769.68076923077</v>
      </c>
      <c r="AD74" s="26">
        <f t="shared" si="720"/>
        <v>24948</v>
      </c>
      <c r="AE74" s="26">
        <f t="shared" si="721"/>
        <v>799.61538461538464</v>
      </c>
      <c r="AF74" s="26">
        <f t="shared" si="722"/>
        <v>24148.384615384617</v>
      </c>
      <c r="AG74" s="3"/>
      <c r="AH74" s="26">
        <f t="shared" si="14"/>
        <v>10395</v>
      </c>
      <c r="AI74" s="45">
        <f t="shared" ref="AI74:AJ74" si="777">(AI63*2)+(AI64*4)</f>
        <v>10395</v>
      </c>
      <c r="AJ74" s="45">
        <f t="shared" si="777"/>
        <v>16290</v>
      </c>
      <c r="AK74" s="26">
        <f t="shared" ref="AK74:AK78" si="778">SUM(AH74:AJ74)</f>
        <v>37080</v>
      </c>
      <c r="AL74" s="26">
        <f>AL63*2+AL64*4</f>
        <v>93555</v>
      </c>
      <c r="AM74" s="31">
        <f t="shared" si="724"/>
        <v>0.39634439634439633</v>
      </c>
      <c r="AN74" s="28"/>
      <c r="AO74" s="21">
        <f t="shared" ref="AO74:AP74" si="779">AO63*2+AO64*4</f>
        <v>800</v>
      </c>
      <c r="AP74" s="114">
        <f t="shared" si="779"/>
        <v>135</v>
      </c>
      <c r="AQ74" s="26">
        <f t="shared" si="726"/>
        <v>935</v>
      </c>
      <c r="AR74" s="3"/>
      <c r="AS74" s="21">
        <f>(AS64*4)+(AS63*2)</f>
        <v>10</v>
      </c>
      <c r="AT74" s="3"/>
      <c r="AU74" s="26">
        <v>41</v>
      </c>
      <c r="AV74" s="26">
        <v>78</v>
      </c>
      <c r="AW74" s="26">
        <v>121</v>
      </c>
      <c r="AX74" s="35">
        <f>AX63*2+AX64*4</f>
        <v>608.48780487804879</v>
      </c>
      <c r="AY74" s="35">
        <f t="shared" si="727"/>
        <v>319.84615384615387</v>
      </c>
      <c r="AZ74" s="35">
        <f t="shared" si="728"/>
        <v>17.083333333333332</v>
      </c>
      <c r="BA74" s="35">
        <f t="shared" si="729"/>
        <v>32.5</v>
      </c>
      <c r="BB74" s="3"/>
      <c r="BC74" s="37" t="s">
        <v>89</v>
      </c>
      <c r="BD74" s="26">
        <f t="shared" si="730"/>
        <v>10395</v>
      </c>
      <c r="BE74" s="21">
        <f t="shared" ref="BE74:BF74" si="780">(BE64*4)+(BE63*2)</f>
        <v>26459.15769230769</v>
      </c>
      <c r="BF74" s="21" t="e" vm="2">
        <f t="shared" si="780"/>
        <v>#VALUE!</v>
      </c>
      <c r="BG74" s="26" t="e" vm="2">
        <f t="shared" si="732"/>
        <v>#VALUE!</v>
      </c>
      <c r="BH74" s="26">
        <f t="shared" si="733"/>
        <v>3838.1538461538466</v>
      </c>
      <c r="BI74" s="21" t="e" vm="2">
        <f t="shared" ref="BI74:BJ74" si="781">(BI64*4)+(BI63*2)</f>
        <v>#VALUE!</v>
      </c>
      <c r="BJ74" s="21">
        <f t="shared" si="781"/>
        <v>339.84615384615387</v>
      </c>
      <c r="BK74" s="39">
        <v>0.18</v>
      </c>
      <c r="BL74" s="21">
        <f t="shared" ref="BL74:BR74" si="782">(BL64*4)+(BL63*2)</f>
        <v>4490.6400000000003</v>
      </c>
      <c r="BM74" s="21">
        <f t="shared" si="782"/>
        <v>16737.549230769233</v>
      </c>
      <c r="BN74" s="21">
        <f t="shared" si="782"/>
        <v>16951.846153846156</v>
      </c>
      <c r="BO74" s="21">
        <f t="shared" si="782"/>
        <v>2558.7692307692309</v>
      </c>
      <c r="BP74" s="21">
        <f t="shared" si="782"/>
        <v>26459.15769230769</v>
      </c>
      <c r="BQ74" s="21">
        <f t="shared" si="782"/>
        <v>120</v>
      </c>
      <c r="BR74" s="21" t="e" vm="2">
        <f t="shared" si="782"/>
        <v>#VALUE!</v>
      </c>
      <c r="BS74" s="26"/>
      <c r="BT74" s="21">
        <f t="shared" ref="BT74:BW74" si="783">(BT64*4)+(BT63*2)</f>
        <v>13970.880000000003</v>
      </c>
      <c r="BU74" s="21">
        <f t="shared" si="783"/>
        <v>142453.08000000002</v>
      </c>
      <c r="BV74" s="21">
        <f t="shared" si="783"/>
        <v>18231.23076923077</v>
      </c>
      <c r="BW74" s="21">
        <f t="shared" si="783"/>
        <v>8955.6923076923085</v>
      </c>
      <c r="BX74" s="21"/>
      <c r="BY74" s="21">
        <f>(BY64*4)+(BY63*2)</f>
        <v>0</v>
      </c>
      <c r="BZ74" s="3"/>
      <c r="CA74" s="40">
        <f t="shared" si="737"/>
        <v>313247.08799999999</v>
      </c>
      <c r="CB74" s="43">
        <v>15</v>
      </c>
      <c r="CC74" s="40">
        <f t="shared" si="738"/>
        <v>374235</v>
      </c>
      <c r="CD74" s="41">
        <f t="shared" si="739"/>
        <v>196.95960706560922</v>
      </c>
      <c r="CE74" s="42">
        <f t="shared" si="740"/>
        <v>0.18730782517964387</v>
      </c>
      <c r="CF74" s="40" t="e">
        <f t="shared" si="741"/>
        <v>#DIV/0!</v>
      </c>
      <c r="CG74" s="21">
        <f>(CG64*4)+(CG63*2)</f>
        <v>12297.25163837304</v>
      </c>
      <c r="CH74" s="43">
        <v>30</v>
      </c>
      <c r="CI74" s="40">
        <f t="shared" si="742"/>
        <v>748455</v>
      </c>
      <c r="CJ74" s="41">
        <f t="shared" si="743"/>
        <v>393.91750180245128</v>
      </c>
      <c r="CK74" s="42">
        <f t="shared" si="744"/>
        <v>0.2360131265625027</v>
      </c>
      <c r="CL74" s="40" t="e">
        <f t="shared" si="745"/>
        <v>#DIV/0!</v>
      </c>
      <c r="CM74" s="21">
        <f>(CM64*4)+(CM63*2)</f>
        <v>15494.882846003467</v>
      </c>
      <c r="CN74" s="43">
        <v>70</v>
      </c>
      <c r="CO74" s="40">
        <f t="shared" si="746"/>
        <v>1746375</v>
      </c>
      <c r="CP74" s="41">
        <f t="shared" si="747"/>
        <v>919.13855443403031</v>
      </c>
      <c r="CQ74" s="42">
        <f t="shared" si="748"/>
        <v>0.29284308589156843</v>
      </c>
      <c r="CR74" s="40" t="e">
        <f t="shared" si="749"/>
        <v>#DIV/0!</v>
      </c>
      <c r="CS74" s="21">
        <f>(CS64*4)+(CS63*2)</f>
        <v>19225.919228481183</v>
      </c>
      <c r="CT74" s="44">
        <v>3.05</v>
      </c>
      <c r="CU74" s="3"/>
      <c r="CV74" s="40">
        <f t="shared" si="750"/>
        <v>313247.08799999999</v>
      </c>
      <c r="CW74" s="40">
        <v>15</v>
      </c>
      <c r="CX74" s="40">
        <f t="shared" si="751"/>
        <v>374235</v>
      </c>
      <c r="CY74" s="41">
        <f t="shared" si="752"/>
        <v>196.95960706560922</v>
      </c>
      <c r="CZ74" s="42">
        <f t="shared" si="753"/>
        <v>2.1137941647188807</v>
      </c>
      <c r="DA74" s="40" t="e">
        <f t="shared" si="754"/>
        <v>#DIV/0!</v>
      </c>
      <c r="DB74" s="21">
        <f>(DB64*4)+(DB63*2)</f>
        <v>138776.14953001746</v>
      </c>
      <c r="DC74" s="43">
        <v>30</v>
      </c>
      <c r="DD74" s="40">
        <f t="shared" si="755"/>
        <v>748455</v>
      </c>
      <c r="DE74" s="41">
        <f t="shared" si="756"/>
        <v>393.91750180245128</v>
      </c>
      <c r="DF74" s="42">
        <f t="shared" si="757"/>
        <v>2.1728955384615385</v>
      </c>
      <c r="DG74" s="40" t="e">
        <f t="shared" si="758"/>
        <v>#DIV/0!</v>
      </c>
      <c r="DH74" s="21">
        <f>(DH64*4)+(DH63*2)</f>
        <v>142656.31024615385</v>
      </c>
      <c r="DI74" s="43">
        <v>70</v>
      </c>
      <c r="DJ74" s="40">
        <f t="shared" si="759"/>
        <v>1746375</v>
      </c>
      <c r="DK74" s="41">
        <f t="shared" si="760"/>
        <v>919.13855443403031</v>
      </c>
      <c r="DL74" s="42">
        <f t="shared" si="761"/>
        <v>2.263897792823506</v>
      </c>
      <c r="DM74" s="40" t="e">
        <f t="shared" si="762"/>
        <v>#DIV/0!</v>
      </c>
      <c r="DN74" s="21">
        <f>(DN64*4)+(DN63*2)</f>
        <v>148630.84772463376</v>
      </c>
      <c r="DO74" s="44">
        <v>3.9</v>
      </c>
      <c r="DP74" s="7"/>
      <c r="DQ74" s="40">
        <f t="shared" si="763"/>
        <v>313247.08799999999</v>
      </c>
      <c r="DR74" s="40">
        <v>15</v>
      </c>
      <c r="DS74" s="40">
        <f t="shared" si="764"/>
        <v>374235</v>
      </c>
      <c r="DT74" s="41">
        <f t="shared" si="765"/>
        <v>196.95960706560922</v>
      </c>
      <c r="DU74" s="42">
        <f t="shared" si="766"/>
        <v>0.10159485656421005</v>
      </c>
      <c r="DV74" s="40">
        <f t="shared" si="767"/>
        <v>218.84400785067692</v>
      </c>
      <c r="DW74" s="21">
        <f>(DW64*4)+(DW63*2)</f>
        <v>12609.892943104041</v>
      </c>
      <c r="DX74" s="43">
        <v>30</v>
      </c>
      <c r="DY74" s="40">
        <f t="shared" si="768"/>
        <v>748455</v>
      </c>
      <c r="DZ74" s="41">
        <f t="shared" si="769"/>
        <v>393.91750180245128</v>
      </c>
      <c r="EA74" s="42">
        <f t="shared" si="770"/>
        <v>0.1695155438520986</v>
      </c>
      <c r="EB74" s="40">
        <f t="shared" si="771"/>
        <v>437.68611311383472</v>
      </c>
      <c r="EC74" s="21">
        <f>(EC64*4)+(EC63*2)</f>
        <v>21040.168099612718</v>
      </c>
      <c r="ED74" s="43">
        <v>70</v>
      </c>
      <c r="EE74" s="40">
        <f t="shared" si="772"/>
        <v>1746375</v>
      </c>
      <c r="EF74" s="41">
        <f t="shared" si="773"/>
        <v>919.13855443403031</v>
      </c>
      <c r="EG74" s="42">
        <f t="shared" si="774"/>
        <v>0.18746255674192952</v>
      </c>
      <c r="EH74" s="40">
        <f t="shared" si="775"/>
        <v>1021.2650604822559</v>
      </c>
      <c r="EI74" s="21">
        <f>(EI64*4)+(EI63*2)</f>
        <v>23267.740624863967</v>
      </c>
      <c r="EJ74" s="44">
        <v>3.9</v>
      </c>
    </row>
    <row r="75" spans="1:140">
      <c r="A75" s="18" t="str">
        <f t="shared" si="0"/>
        <v>ZgSa</v>
      </c>
      <c r="B75" s="19">
        <v>502</v>
      </c>
      <c r="C75" s="18" t="s">
        <v>88</v>
      </c>
      <c r="D75" s="18" t="s">
        <v>76</v>
      </c>
      <c r="E75" s="18" t="s">
        <v>85</v>
      </c>
      <c r="F75" s="3"/>
      <c r="G75" s="21">
        <v>60000</v>
      </c>
      <c r="H75" s="21">
        <f t="shared" ref="H75:L75" si="784">(H65*4)+(H63*2)</f>
        <v>48422</v>
      </c>
      <c r="I75" s="21">
        <f t="shared" si="784"/>
        <v>5384</v>
      </c>
      <c r="J75" s="21">
        <f t="shared" si="784"/>
        <v>3554</v>
      </c>
      <c r="K75" s="21">
        <f t="shared" si="784"/>
        <v>2640</v>
      </c>
      <c r="L75" s="21">
        <f t="shared" si="784"/>
        <v>11664</v>
      </c>
      <c r="M75" s="179"/>
      <c r="N75" s="23">
        <f t="shared" si="709"/>
        <v>0.19439999999999999</v>
      </c>
      <c r="O75" s="21">
        <f t="shared" si="710"/>
        <v>10766.769230769232</v>
      </c>
      <c r="P75" s="21">
        <f t="shared" si="711"/>
        <v>8613.4153846153858</v>
      </c>
      <c r="Q75" s="21">
        <f t="shared" si="712"/>
        <v>4306.7076923076929</v>
      </c>
      <c r="R75" s="21">
        <f t="shared" si="713"/>
        <v>3445.3661538461547</v>
      </c>
      <c r="S75" s="21">
        <f t="shared" si="4"/>
        <v>12920.123076923079</v>
      </c>
      <c r="T75" s="3"/>
      <c r="U75" s="26">
        <f t="shared" si="714"/>
        <v>11664</v>
      </c>
      <c r="V75" s="27">
        <f t="shared" si="715"/>
        <v>0.19439999999999999</v>
      </c>
      <c r="W75" s="108">
        <f t="shared" si="716"/>
        <v>0.58320000000000005</v>
      </c>
      <c r="X75" s="32"/>
      <c r="Y75" s="29">
        <v>3</v>
      </c>
      <c r="Z75" s="26">
        <f t="shared" si="717"/>
        <v>34992</v>
      </c>
      <c r="AA75" s="26">
        <f t="shared" si="718"/>
        <v>27993.600000000002</v>
      </c>
      <c r="AB75" s="26">
        <f t="shared" si="719"/>
        <v>39298.707692307697</v>
      </c>
      <c r="AC75" s="21">
        <f>(AC65*4)+(AC63*2)</f>
        <v>33403.901538461541</v>
      </c>
      <c r="AD75" s="26">
        <f t="shared" si="720"/>
        <v>27993.600000000002</v>
      </c>
      <c r="AE75" s="26">
        <f t="shared" si="721"/>
        <v>897.23076923076928</v>
      </c>
      <c r="AF75" s="26">
        <f t="shared" si="722"/>
        <v>27096.369230769233</v>
      </c>
      <c r="AG75" s="3"/>
      <c r="AH75" s="26">
        <f t="shared" si="14"/>
        <v>11664</v>
      </c>
      <c r="AI75" s="45">
        <f t="shared" ref="AI75:AJ75" si="785">(AI63*2)+(AI65*4)</f>
        <v>11664</v>
      </c>
      <c r="AJ75" s="45">
        <f t="shared" si="785"/>
        <v>19440</v>
      </c>
      <c r="AK75" s="26">
        <f t="shared" si="778"/>
        <v>42768</v>
      </c>
      <c r="AL75" s="26">
        <f>AL63*2+AL65*4</f>
        <v>104976</v>
      </c>
      <c r="AM75" s="31">
        <f t="shared" si="724"/>
        <v>0.40740740740740738</v>
      </c>
      <c r="AN75" s="28"/>
      <c r="AO75" s="21">
        <f t="shared" ref="AO75:AP75" si="786">AO63*2+AO65*4</f>
        <v>760</v>
      </c>
      <c r="AP75" s="114">
        <f t="shared" si="786"/>
        <v>216</v>
      </c>
      <c r="AQ75" s="26">
        <f t="shared" si="726"/>
        <v>976</v>
      </c>
      <c r="AR75" s="3"/>
      <c r="AS75" s="21">
        <f>(AS65*4)+(AS63*2)</f>
        <v>16</v>
      </c>
      <c r="AT75" s="3"/>
      <c r="AU75" s="26">
        <v>41</v>
      </c>
      <c r="AV75" s="26">
        <v>78</v>
      </c>
      <c r="AW75" s="26">
        <v>121</v>
      </c>
      <c r="AX75" s="35">
        <f>AX63*2+AX65*4</f>
        <v>682.77073170731717</v>
      </c>
      <c r="AY75" s="35">
        <f t="shared" si="727"/>
        <v>358.89230769230772</v>
      </c>
      <c r="AZ75" s="35">
        <f t="shared" si="728"/>
        <v>17.083333333333332</v>
      </c>
      <c r="BA75" s="35">
        <f t="shared" si="729"/>
        <v>32.5</v>
      </c>
      <c r="BB75" s="3"/>
      <c r="BC75" s="37" t="s">
        <v>89</v>
      </c>
      <c r="BD75" s="26">
        <f t="shared" si="730"/>
        <v>11664</v>
      </c>
      <c r="BE75" s="21">
        <f t="shared" ref="BE75:BF75" si="787">(BE65*4)+(BE63*2)</f>
        <v>29718.535384615385</v>
      </c>
      <c r="BF75" s="21" t="e" vm="2">
        <f t="shared" si="787"/>
        <v>#VALUE!</v>
      </c>
      <c r="BG75" s="26" t="e" vm="2">
        <f t="shared" si="732"/>
        <v>#VALUE!</v>
      </c>
      <c r="BH75" s="26">
        <f t="shared" si="733"/>
        <v>4306.7076923076929</v>
      </c>
      <c r="BI75" s="21" t="e" vm="2">
        <f t="shared" ref="BI75:BJ75" si="788">(BI65*4)+(BI63*2)</f>
        <v>#VALUE!</v>
      </c>
      <c r="BJ75" s="21">
        <f t="shared" si="788"/>
        <v>390.89230769230772</v>
      </c>
      <c r="BK75" s="39">
        <v>0.18</v>
      </c>
      <c r="BL75" s="21">
        <f t="shared" ref="BL75:BR75" si="789">(BL65*4)+(BL63*2)</f>
        <v>5038.848</v>
      </c>
      <c r="BM75" s="21">
        <f t="shared" si="789"/>
        <v>18780.834461538463</v>
      </c>
      <c r="BN75" s="21">
        <f t="shared" si="789"/>
        <v>19021.292307692311</v>
      </c>
      <c r="BO75" s="21">
        <f t="shared" si="789"/>
        <v>2871.1384615384618</v>
      </c>
      <c r="BP75" s="21">
        <f t="shared" si="789"/>
        <v>29718.535384615385</v>
      </c>
      <c r="BQ75" s="21">
        <f t="shared" si="789"/>
        <v>120</v>
      </c>
      <c r="BR75" s="21" t="e" vm="2">
        <f t="shared" si="789"/>
        <v>#VALUE!</v>
      </c>
      <c r="BS75" s="26"/>
      <c r="BT75" s="21">
        <f t="shared" ref="BT75:BW75" si="790">(BT65*4)+(BT63*2)</f>
        <v>15676.416000000003</v>
      </c>
      <c r="BU75" s="21">
        <f t="shared" si="790"/>
        <v>159843.45600000001</v>
      </c>
      <c r="BV75" s="21">
        <f t="shared" si="790"/>
        <v>20456.86153846154</v>
      </c>
      <c r="BW75" s="21">
        <f t="shared" si="790"/>
        <v>10048.984615384616</v>
      </c>
      <c r="BX75" s="21"/>
      <c r="BY75" s="21">
        <f>(BY65*4)+(BY63*2)</f>
        <v>0</v>
      </c>
      <c r="BZ75" s="3"/>
      <c r="CA75" s="40">
        <f t="shared" si="737"/>
        <v>351487.64160000003</v>
      </c>
      <c r="CB75" s="43">
        <v>15</v>
      </c>
      <c r="CC75" s="40">
        <f t="shared" si="738"/>
        <v>419919.00000000006</v>
      </c>
      <c r="CD75" s="41">
        <f t="shared" si="739"/>
        <v>221.00381759192504</v>
      </c>
      <c r="CE75" s="42">
        <f t="shared" si="740"/>
        <v>0.18920453537532383</v>
      </c>
      <c r="CF75" s="40" t="e">
        <f t="shared" si="741"/>
        <v>#DIV/0!</v>
      </c>
      <c r="CG75" s="21">
        <f>(CG65*4)+(CG63*2)</f>
        <v>13938.200214428067</v>
      </c>
      <c r="CH75" s="43">
        <v>30</v>
      </c>
      <c r="CI75" s="40">
        <f t="shared" si="742"/>
        <v>839823.00000000012</v>
      </c>
      <c r="CJ75" s="41">
        <f t="shared" si="743"/>
        <v>442.00592285508293</v>
      </c>
      <c r="CK75" s="42">
        <f t="shared" si="744"/>
        <v>0.21661270071981978</v>
      </c>
      <c r="CL75" s="40" t="e">
        <f t="shared" si="745"/>
        <v>#DIV/0!</v>
      </c>
      <c r="CM75" s="21">
        <f>(CM65*4)+(CM63*2)</f>
        <v>15957.287628606176</v>
      </c>
      <c r="CN75" s="43">
        <v>70</v>
      </c>
      <c r="CO75" s="40">
        <f t="shared" si="746"/>
        <v>1959567.0000000002</v>
      </c>
      <c r="CP75" s="41">
        <f t="shared" si="747"/>
        <v>1031.3448702235041</v>
      </c>
      <c r="CQ75" s="42">
        <f t="shared" si="748"/>
        <v>0.2895010026967812</v>
      </c>
      <c r="CR75" s="40" t="e">
        <f t="shared" si="749"/>
        <v>#DIV/0!</v>
      </c>
      <c r="CS75" s="21">
        <f>(CS65*4)+(CS63*2)</f>
        <v>21326.777023927931</v>
      </c>
      <c r="CT75" s="44">
        <v>3.05</v>
      </c>
      <c r="CU75" s="3"/>
      <c r="CV75" s="40">
        <f t="shared" si="750"/>
        <v>351487.64160000003</v>
      </c>
      <c r="CW75" s="40">
        <v>15</v>
      </c>
      <c r="CX75" s="40">
        <f t="shared" si="751"/>
        <v>419919.00000000006</v>
      </c>
      <c r="CY75" s="41">
        <f t="shared" si="752"/>
        <v>221.00381759192504</v>
      </c>
      <c r="CZ75" s="42">
        <f t="shared" si="753"/>
        <v>2.1132312850687538</v>
      </c>
      <c r="DA75" s="40" t="e">
        <f t="shared" si="754"/>
        <v>#DIV/0!</v>
      </c>
      <c r="DB75" s="21">
        <f>(DB65*4)+(DB63*2)</f>
        <v>155676.18763605438</v>
      </c>
      <c r="DC75" s="43">
        <v>30</v>
      </c>
      <c r="DD75" s="40">
        <f t="shared" si="755"/>
        <v>839823.00000000012</v>
      </c>
      <c r="DE75" s="41">
        <f t="shared" si="756"/>
        <v>442.00592285508293</v>
      </c>
      <c r="DF75" s="42">
        <f t="shared" si="757"/>
        <v>2.1518776477920225</v>
      </c>
      <c r="DG75" s="40" t="e">
        <f t="shared" si="758"/>
        <v>#DIV/0!</v>
      </c>
      <c r="DH75" s="21">
        <f>(DH65*4)+(DH63*2)</f>
        <v>158523.16347692307</v>
      </c>
      <c r="DI75" s="43">
        <v>70</v>
      </c>
      <c r="DJ75" s="40">
        <f t="shared" si="759"/>
        <v>1959567.0000000002</v>
      </c>
      <c r="DK75" s="41">
        <f t="shared" si="760"/>
        <v>1031.3448702235041</v>
      </c>
      <c r="DL75" s="42">
        <f t="shared" si="761"/>
        <v>2.2565610590360183</v>
      </c>
      <c r="DM75" s="40" t="e">
        <f t="shared" si="762"/>
        <v>#DIV/0!</v>
      </c>
      <c r="DN75" s="21">
        <f>(DN65*4)+(DN63*2)</f>
        <v>166234.91490060708</v>
      </c>
      <c r="DO75" s="44">
        <v>3.9</v>
      </c>
      <c r="DP75" s="7"/>
      <c r="DQ75" s="40">
        <f t="shared" si="763"/>
        <v>351487.64160000003</v>
      </c>
      <c r="DR75" s="40">
        <v>15</v>
      </c>
      <c r="DS75" s="40">
        <f t="shared" si="764"/>
        <v>419919.00000000006</v>
      </c>
      <c r="DT75" s="41">
        <f t="shared" si="765"/>
        <v>221.00381759192504</v>
      </c>
      <c r="DU75" s="42">
        <f t="shared" si="766"/>
        <v>0.10319228245738035</v>
      </c>
      <c r="DV75" s="40">
        <f t="shared" si="767"/>
        <v>245.55979732436114</v>
      </c>
      <c r="DW75" s="21">
        <f>(DW65*4)+(DW63*2)</f>
        <v>14371.758598004591</v>
      </c>
      <c r="DX75" s="43">
        <v>30</v>
      </c>
      <c r="DY75" s="40">
        <f t="shared" si="768"/>
        <v>839823.00000000012</v>
      </c>
      <c r="DZ75" s="41">
        <f t="shared" si="769"/>
        <v>442.00592285508293</v>
      </c>
      <c r="EA75" s="42">
        <f t="shared" si="770"/>
        <v>0.13282313531217141</v>
      </c>
      <c r="EB75" s="40">
        <f t="shared" si="771"/>
        <v>491.11769206120323</v>
      </c>
      <c r="EC75" s="21">
        <f>(EC65*4)+(EC63*2)</f>
        <v>18498.496122760207</v>
      </c>
      <c r="ED75" s="43">
        <v>70</v>
      </c>
      <c r="EE75" s="40">
        <f t="shared" si="772"/>
        <v>1959567.0000000002</v>
      </c>
      <c r="EF75" s="41">
        <f t="shared" si="773"/>
        <v>1031.3448702235041</v>
      </c>
      <c r="EG75" s="42">
        <f t="shared" si="774"/>
        <v>0.18490723316202984</v>
      </c>
      <c r="EH75" s="40">
        <f t="shared" si="775"/>
        <v>1145.9387446927824</v>
      </c>
      <c r="EI75" s="21">
        <f>(EI65*4)+(EI63*2)</f>
        <v>25752.333941515419</v>
      </c>
      <c r="EJ75" s="44">
        <v>3.9</v>
      </c>
    </row>
    <row r="76" spans="1:140">
      <c r="A76" s="48" t="str">
        <f t="shared" si="0"/>
        <v>ZmGi</v>
      </c>
      <c r="B76" s="49">
        <v>510</v>
      </c>
      <c r="C76" s="48" t="s">
        <v>88</v>
      </c>
      <c r="D76" s="48" t="s">
        <v>81</v>
      </c>
      <c r="E76" s="48" t="s">
        <v>83</v>
      </c>
      <c r="F76" s="3"/>
      <c r="G76" s="50">
        <v>60000</v>
      </c>
      <c r="H76" s="50">
        <f t="shared" ref="H76:L76" si="791">H66*6</f>
        <v>43350</v>
      </c>
      <c r="I76" s="50">
        <f t="shared" si="791"/>
        <v>6984</v>
      </c>
      <c r="J76" s="50">
        <f t="shared" si="791"/>
        <v>5586</v>
      </c>
      <c r="K76" s="50">
        <f t="shared" si="791"/>
        <v>4080</v>
      </c>
      <c r="L76" s="50">
        <f t="shared" si="791"/>
        <v>17496</v>
      </c>
      <c r="M76" s="121"/>
      <c r="N76" s="107">
        <f t="shared" si="709"/>
        <v>0.29160000000000003</v>
      </c>
      <c r="O76" s="52">
        <f t="shared" si="710"/>
        <v>21533.538461538465</v>
      </c>
      <c r="P76" s="52">
        <f t="shared" si="711"/>
        <v>17226.830769230772</v>
      </c>
      <c r="Q76" s="52">
        <f t="shared" si="712"/>
        <v>8613.4153846153858</v>
      </c>
      <c r="R76" s="52">
        <f t="shared" si="713"/>
        <v>6890.7323076923094</v>
      </c>
      <c r="S76" s="52">
        <f t="shared" si="4"/>
        <v>25840.246153846158</v>
      </c>
      <c r="T76" s="3"/>
      <c r="U76" s="58">
        <f t="shared" si="714"/>
        <v>17496</v>
      </c>
      <c r="V76" s="56">
        <f t="shared" si="715"/>
        <v>0.29160000000000003</v>
      </c>
      <c r="W76" s="110">
        <f t="shared" si="716"/>
        <v>1.1664000000000001</v>
      </c>
      <c r="X76" s="113"/>
      <c r="Y76" s="57">
        <v>4</v>
      </c>
      <c r="Z76" s="58">
        <f t="shared" si="717"/>
        <v>69984</v>
      </c>
      <c r="AA76" s="58">
        <f t="shared" si="718"/>
        <v>55987.200000000004</v>
      </c>
      <c r="AB76" s="58">
        <f t="shared" si="719"/>
        <v>78597.415384615393</v>
      </c>
      <c r="AC76" s="50">
        <f>AC66*6</f>
        <v>66807.803076923083</v>
      </c>
      <c r="AD76" s="58">
        <f t="shared" si="720"/>
        <v>55987.200000000004</v>
      </c>
      <c r="AE76" s="58">
        <f t="shared" si="721"/>
        <v>1794.4615384615386</v>
      </c>
      <c r="AF76" s="58">
        <f t="shared" si="722"/>
        <v>54192.738461538465</v>
      </c>
      <c r="AG76" s="3"/>
      <c r="AH76" s="58">
        <f t="shared" si="14"/>
        <v>17496</v>
      </c>
      <c r="AI76" s="50">
        <f t="shared" ref="AI76:AJ76" si="792">AI66*6</f>
        <v>17496</v>
      </c>
      <c r="AJ76" s="58">
        <f t="shared" si="792"/>
        <v>38904</v>
      </c>
      <c r="AK76" s="58">
        <f t="shared" si="778"/>
        <v>73896</v>
      </c>
      <c r="AL76" s="58">
        <f>AL66*6</f>
        <v>209952</v>
      </c>
      <c r="AM76" s="59">
        <f t="shared" si="724"/>
        <v>0.35196616369455874</v>
      </c>
      <c r="AN76" s="32"/>
      <c r="AO76" s="50">
        <f t="shared" ref="AO76:AP76" si="793">AO66*6</f>
        <v>1200</v>
      </c>
      <c r="AP76" s="115">
        <f t="shared" si="793"/>
        <v>324</v>
      </c>
      <c r="AQ76" s="55">
        <f t="shared" si="726"/>
        <v>1524</v>
      </c>
      <c r="AR76" s="3"/>
      <c r="AS76" s="50">
        <f>AS66*6</f>
        <v>24</v>
      </c>
      <c r="AT76" s="3"/>
      <c r="AU76" s="58">
        <v>41</v>
      </c>
      <c r="AV76" s="58">
        <v>78</v>
      </c>
      <c r="AW76" s="58">
        <v>121</v>
      </c>
      <c r="AX76" s="62">
        <f>AX66*6</f>
        <v>1365.5414634146343</v>
      </c>
      <c r="AY76" s="62">
        <f t="shared" si="727"/>
        <v>717.78461538461545</v>
      </c>
      <c r="AZ76" s="62">
        <f t="shared" si="728"/>
        <v>12.812499999999998</v>
      </c>
      <c r="BA76" s="62">
        <f t="shared" si="729"/>
        <v>24.374999999999996</v>
      </c>
      <c r="BB76" s="3"/>
      <c r="BC76" s="58" t="s">
        <v>89</v>
      </c>
      <c r="BD76" s="58">
        <f t="shared" si="730"/>
        <v>17496</v>
      </c>
      <c r="BE76" s="50">
        <f t="shared" ref="BE76:BF76" si="794">BE66*6</f>
        <v>59653.070769230777</v>
      </c>
      <c r="BF76" s="50" t="e" vm="2">
        <f t="shared" si="794"/>
        <v>#VALUE!</v>
      </c>
      <c r="BG76" s="58" t="e" vm="2">
        <f t="shared" si="732"/>
        <v>#VALUE!</v>
      </c>
      <c r="BH76" s="58">
        <f t="shared" si="733"/>
        <v>8613.4153846153858</v>
      </c>
      <c r="BI76" s="50" t="e" vm="2">
        <f t="shared" ref="BI76:BJ76" si="795">BI66*6</f>
        <v>#VALUE!</v>
      </c>
      <c r="BJ76" s="50">
        <f t="shared" si="795"/>
        <v>765.78461538461545</v>
      </c>
      <c r="BK76" s="64">
        <v>0.18</v>
      </c>
      <c r="BL76" s="50">
        <f t="shared" ref="BL76:BR76" si="796">BL66*6</f>
        <v>10077.696</v>
      </c>
      <c r="BM76" s="50">
        <f t="shared" si="796"/>
        <v>37561.668923076926</v>
      </c>
      <c r="BN76" s="50">
        <f t="shared" si="796"/>
        <v>38042.584615384621</v>
      </c>
      <c r="BO76" s="50">
        <f t="shared" si="796"/>
        <v>5742.2769230769236</v>
      </c>
      <c r="BP76" s="50">
        <f t="shared" si="796"/>
        <v>59653.070769230777</v>
      </c>
      <c r="BQ76" s="50">
        <f t="shared" si="796"/>
        <v>132</v>
      </c>
      <c r="BR76" s="50" t="e" vm="2">
        <f t="shared" si="796"/>
        <v>#VALUE!</v>
      </c>
      <c r="BS76" s="26"/>
      <c r="BT76" s="50">
        <f t="shared" ref="BT76:BW76" si="797">BT66*6</f>
        <v>31352.832000000002</v>
      </c>
      <c r="BU76" s="50">
        <f t="shared" si="797"/>
        <v>319686.91200000001</v>
      </c>
      <c r="BV76" s="50">
        <f t="shared" si="797"/>
        <v>40913.723076923081</v>
      </c>
      <c r="BW76" s="50">
        <f t="shared" si="797"/>
        <v>20097.969230769231</v>
      </c>
      <c r="BX76" s="50"/>
      <c r="BY76" s="50">
        <f>BY66*6</f>
        <v>24</v>
      </c>
      <c r="BZ76" s="3"/>
      <c r="CA76" s="65">
        <f t="shared" si="737"/>
        <v>702975.28320000006</v>
      </c>
      <c r="CB76" s="68">
        <v>15</v>
      </c>
      <c r="CC76" s="65">
        <f t="shared" si="738"/>
        <v>839823.00000000012</v>
      </c>
      <c r="CD76" s="66">
        <f t="shared" si="739"/>
        <v>442.00592285508293</v>
      </c>
      <c r="CE76" s="67">
        <f t="shared" si="740"/>
        <v>0.18800627582434998</v>
      </c>
      <c r="CF76" s="65" t="e">
        <f t="shared" si="741"/>
        <v>#DIV/0!</v>
      </c>
      <c r="CG76" s="50">
        <f>CG66*6</f>
        <v>27699.855173244869</v>
      </c>
      <c r="CH76" s="68">
        <v>30</v>
      </c>
      <c r="CI76" s="65">
        <f t="shared" si="742"/>
        <v>1679631.0000000002</v>
      </c>
      <c r="CJ76" s="66">
        <f t="shared" si="743"/>
        <v>884.01013338139876</v>
      </c>
      <c r="CK76" s="67">
        <f t="shared" si="744"/>
        <v>0.22570146425670581</v>
      </c>
      <c r="CL76" s="65" t="e">
        <f t="shared" si="745"/>
        <v>#DIV/0!</v>
      </c>
      <c r="CM76" s="50">
        <f>CM66*6</f>
        <v>33253.665841139577</v>
      </c>
      <c r="CN76" s="68">
        <v>70</v>
      </c>
      <c r="CO76" s="65">
        <f t="shared" si="746"/>
        <v>3919119.0000000005</v>
      </c>
      <c r="CP76" s="66">
        <f t="shared" si="747"/>
        <v>2062.6880281182412</v>
      </c>
      <c r="CQ76" s="67">
        <f t="shared" si="748"/>
        <v>0.28750493793851539</v>
      </c>
      <c r="CR76" s="65" t="e">
        <f t="shared" si="749"/>
        <v>#DIV/0!</v>
      </c>
      <c r="CS76" s="50">
        <f>CS66*6</f>
        <v>42359.464371976974</v>
      </c>
      <c r="CT76" s="69">
        <v>3.05</v>
      </c>
      <c r="CU76" s="3"/>
      <c r="CV76" s="65">
        <f t="shared" si="750"/>
        <v>702975.28320000006</v>
      </c>
      <c r="CW76" s="65">
        <v>15</v>
      </c>
      <c r="CX76" s="65">
        <f t="shared" si="751"/>
        <v>839823.00000000012</v>
      </c>
      <c r="CY76" s="66">
        <f t="shared" si="752"/>
        <v>442.00592285508293</v>
      </c>
      <c r="CZ76" s="67">
        <f t="shared" si="753"/>
        <v>1.7276379396038115</v>
      </c>
      <c r="DA76" s="65" t="e">
        <f t="shared" si="754"/>
        <v>#DIV/0!</v>
      </c>
      <c r="DB76" s="50">
        <f>DB66*6</f>
        <v>254541.08118996455</v>
      </c>
      <c r="DC76" s="68">
        <v>30</v>
      </c>
      <c r="DD76" s="65">
        <f t="shared" si="755"/>
        <v>1679631.0000000002</v>
      </c>
      <c r="DE76" s="66">
        <f t="shared" si="756"/>
        <v>884.01013338139876</v>
      </c>
      <c r="DF76" s="67">
        <f t="shared" si="757"/>
        <v>1.7774938461538461</v>
      </c>
      <c r="DG76" s="65" t="e">
        <f t="shared" si="758"/>
        <v>#DIV/0!</v>
      </c>
      <c r="DH76" s="50">
        <f>DH66*6</f>
        <v>261886.58806153847</v>
      </c>
      <c r="DI76" s="68">
        <v>70</v>
      </c>
      <c r="DJ76" s="65">
        <f t="shared" si="759"/>
        <v>3919119.0000000005</v>
      </c>
      <c r="DK76" s="66">
        <f t="shared" si="760"/>
        <v>2062.6880281182412</v>
      </c>
      <c r="DL76" s="67">
        <f t="shared" si="761"/>
        <v>1.8734902552812696</v>
      </c>
      <c r="DM76" s="65" t="e">
        <f t="shared" si="762"/>
        <v>#DIV/0!</v>
      </c>
      <c r="DN76" s="50">
        <f>DN66*6</f>
        <v>276030.1937381145</v>
      </c>
      <c r="DO76" s="69">
        <v>3.9</v>
      </c>
      <c r="DP76" s="7"/>
      <c r="DQ76" s="65">
        <f t="shared" si="763"/>
        <v>702975.28320000006</v>
      </c>
      <c r="DR76" s="65">
        <v>15</v>
      </c>
      <c r="DS76" s="65">
        <f t="shared" si="764"/>
        <v>839823.00000000012</v>
      </c>
      <c r="DT76" s="66">
        <f t="shared" si="765"/>
        <v>442.00592285508293</v>
      </c>
      <c r="DU76" s="67">
        <f t="shared" si="766"/>
        <v>0.10406413414584893</v>
      </c>
      <c r="DV76" s="65">
        <f t="shared" si="767"/>
        <v>491.11769206120323</v>
      </c>
      <c r="DW76" s="50">
        <f>DW66*6</f>
        <v>28986.365628111809</v>
      </c>
      <c r="DX76" s="68">
        <v>30</v>
      </c>
      <c r="DY76" s="65">
        <f t="shared" si="768"/>
        <v>1679631.0000000002</v>
      </c>
      <c r="DZ76" s="66">
        <f t="shared" si="769"/>
        <v>884.01013338139876</v>
      </c>
      <c r="EA76" s="67">
        <f t="shared" si="770"/>
        <v>0.15473211897128594</v>
      </c>
      <c r="EB76" s="65">
        <f t="shared" si="771"/>
        <v>982.23348153488746</v>
      </c>
      <c r="EC76" s="50">
        <f>EC66*6</f>
        <v>43099.592493876524</v>
      </c>
      <c r="ED76" s="68">
        <v>70</v>
      </c>
      <c r="EE76" s="65">
        <f t="shared" si="772"/>
        <v>3919119.0000000005</v>
      </c>
      <c r="EF76" s="66">
        <f t="shared" si="773"/>
        <v>2062.6880281182412</v>
      </c>
      <c r="EG76" s="67">
        <f t="shared" si="774"/>
        <v>0.17641020566674068</v>
      </c>
      <c r="EH76" s="65">
        <f t="shared" si="775"/>
        <v>2291.8755867980458</v>
      </c>
      <c r="EI76" s="50">
        <f>EI66*6</f>
        <v>49137.877943805688</v>
      </c>
      <c r="EJ76" s="69">
        <v>3.9</v>
      </c>
    </row>
    <row r="77" spans="1:140">
      <c r="A77" s="48" t="str">
        <f t="shared" si="0"/>
        <v>ZmSc</v>
      </c>
      <c r="B77" s="49">
        <v>511</v>
      </c>
      <c r="C77" s="48" t="s">
        <v>88</v>
      </c>
      <c r="D77" s="48" t="s">
        <v>81</v>
      </c>
      <c r="E77" s="48" t="s">
        <v>84</v>
      </c>
      <c r="F77" s="6"/>
      <c r="G77" s="50">
        <v>60000</v>
      </c>
      <c r="H77" s="50">
        <f t="shared" ref="H77:L77" si="798">(H67*4)+(H66*2)</f>
        <v>48450</v>
      </c>
      <c r="I77" s="50">
        <f t="shared" si="798"/>
        <v>4728</v>
      </c>
      <c r="J77" s="50">
        <f t="shared" si="798"/>
        <v>4102</v>
      </c>
      <c r="K77" s="50">
        <f t="shared" si="798"/>
        <v>2720</v>
      </c>
      <c r="L77" s="50">
        <f t="shared" si="798"/>
        <v>12906</v>
      </c>
      <c r="M77" s="177"/>
      <c r="N77" s="107">
        <f t="shared" si="709"/>
        <v>0.21510000000000001</v>
      </c>
      <c r="O77" s="52">
        <f t="shared" si="710"/>
        <v>15884.307692307695</v>
      </c>
      <c r="P77" s="52">
        <f t="shared" si="711"/>
        <v>12707.446153846156</v>
      </c>
      <c r="Q77" s="52">
        <f t="shared" si="712"/>
        <v>6353.7230769230782</v>
      </c>
      <c r="R77" s="52">
        <f t="shared" si="713"/>
        <v>5082.9784615384633</v>
      </c>
      <c r="S77" s="52">
        <f t="shared" si="4"/>
        <v>19061.169230769236</v>
      </c>
      <c r="T77" s="3"/>
      <c r="U77" s="58">
        <f t="shared" si="714"/>
        <v>12906</v>
      </c>
      <c r="V77" s="56">
        <f t="shared" si="715"/>
        <v>0.21510000000000001</v>
      </c>
      <c r="W77" s="110">
        <f t="shared" si="716"/>
        <v>0.86040000000000005</v>
      </c>
      <c r="X77" s="113"/>
      <c r="Y77" s="57">
        <v>4</v>
      </c>
      <c r="Z77" s="58">
        <f t="shared" si="717"/>
        <v>51624</v>
      </c>
      <c r="AA77" s="58">
        <f t="shared" si="718"/>
        <v>41299.200000000004</v>
      </c>
      <c r="AB77" s="58">
        <f t="shared" si="719"/>
        <v>57977.723076923081</v>
      </c>
      <c r="AC77" s="50">
        <f>(AC67*4)+(AC66*2)</f>
        <v>49281.064615384617</v>
      </c>
      <c r="AD77" s="58">
        <f t="shared" si="720"/>
        <v>41299.200000000004</v>
      </c>
      <c r="AE77" s="58">
        <f t="shared" si="721"/>
        <v>1323.6923076923081</v>
      </c>
      <c r="AF77" s="58">
        <f t="shared" si="722"/>
        <v>39975.507692307699</v>
      </c>
      <c r="AG77" s="3"/>
      <c r="AH77" s="58">
        <f t="shared" si="14"/>
        <v>12906</v>
      </c>
      <c r="AI77" s="51">
        <f t="shared" ref="AI77:AJ77" si="799">AI66*2+AI67*4</f>
        <v>12906</v>
      </c>
      <c r="AJ77" s="58">
        <f t="shared" si="799"/>
        <v>28148</v>
      </c>
      <c r="AK77" s="58">
        <f t="shared" si="778"/>
        <v>53960</v>
      </c>
      <c r="AL77" s="58">
        <f>AL67*4+AL66*2</f>
        <v>154872</v>
      </c>
      <c r="AM77" s="59">
        <f t="shared" si="724"/>
        <v>0.34841675706389791</v>
      </c>
      <c r="AN77" s="32"/>
      <c r="AO77" s="50">
        <f t="shared" ref="AO77:AP77" si="800">AO66*2+AO67*4</f>
        <v>800</v>
      </c>
      <c r="AP77" s="115">
        <f t="shared" si="800"/>
        <v>216</v>
      </c>
      <c r="AQ77" s="55">
        <f t="shared" si="726"/>
        <v>1016</v>
      </c>
      <c r="AR77" s="3"/>
      <c r="AS77" s="50">
        <f>(AS67*4)+(AS66*2)</f>
        <v>16</v>
      </c>
      <c r="AT77" s="3"/>
      <c r="AU77" s="58">
        <v>41</v>
      </c>
      <c r="AV77" s="58">
        <v>78</v>
      </c>
      <c r="AW77" s="58">
        <v>121</v>
      </c>
      <c r="AX77" s="62">
        <f>AX66*2+AX67*4</f>
        <v>1007.2975609756099</v>
      </c>
      <c r="AY77" s="62">
        <f t="shared" si="727"/>
        <v>529.47692307692319</v>
      </c>
      <c r="AZ77" s="62">
        <f t="shared" si="728"/>
        <v>12.812499999999998</v>
      </c>
      <c r="BA77" s="62">
        <f t="shared" si="729"/>
        <v>24.374999999999996</v>
      </c>
      <c r="BB77" s="3"/>
      <c r="BC77" s="58" t="s">
        <v>89</v>
      </c>
      <c r="BD77" s="58">
        <f t="shared" si="730"/>
        <v>12906</v>
      </c>
      <c r="BE77" s="50">
        <f t="shared" ref="BE77:BF77" si="801">(BE67*4)+(BE66*2)</f>
        <v>44006.086153846154</v>
      </c>
      <c r="BF77" s="50" t="e" vm="2">
        <f t="shared" si="801"/>
        <v>#VALUE!</v>
      </c>
      <c r="BG77" s="58" t="e" vm="2">
        <f t="shared" si="732"/>
        <v>#VALUE!</v>
      </c>
      <c r="BH77" s="58">
        <f t="shared" si="733"/>
        <v>6353.7230769230782</v>
      </c>
      <c r="BI77" s="50" t="e" vm="2">
        <f t="shared" ref="BI77:BJ77" si="802">(BI67*4)+(BI66*2)</f>
        <v>#VALUE!</v>
      </c>
      <c r="BJ77" s="50">
        <f t="shared" si="802"/>
        <v>561.47692307692319</v>
      </c>
      <c r="BK77" s="64">
        <v>0.18</v>
      </c>
      <c r="BL77" s="50">
        <f t="shared" ref="BL77:BR77" si="803">(BL67*4)+(BL66*2)</f>
        <v>7433.8559999999998</v>
      </c>
      <c r="BM77" s="50">
        <f t="shared" si="803"/>
        <v>27707.527384615387</v>
      </c>
      <c r="BN77" s="50">
        <f t="shared" si="803"/>
        <v>28062.276923076926</v>
      </c>
      <c r="BO77" s="50">
        <f t="shared" si="803"/>
        <v>4235.8153846153855</v>
      </c>
      <c r="BP77" s="50">
        <f t="shared" si="803"/>
        <v>44006.086153846154</v>
      </c>
      <c r="BQ77" s="50">
        <f t="shared" si="803"/>
        <v>96</v>
      </c>
      <c r="BR77" s="50" t="e" vm="2">
        <f t="shared" si="803"/>
        <v>#VALUE!</v>
      </c>
      <c r="BS77" s="26"/>
      <c r="BT77" s="50">
        <f t="shared" ref="BT77:BW77" si="804">(BT67*4)+(BT66*2)</f>
        <v>23127.552000000003</v>
      </c>
      <c r="BU77" s="50">
        <f t="shared" si="804"/>
        <v>235818.43200000003</v>
      </c>
      <c r="BV77" s="50">
        <f t="shared" si="804"/>
        <v>30180.18461538462</v>
      </c>
      <c r="BW77" s="50">
        <f t="shared" si="804"/>
        <v>14825.353846153848</v>
      </c>
      <c r="BX77" s="50"/>
      <c r="BY77" s="50">
        <f>(BY67*4)+(BY66*2)</f>
        <v>16</v>
      </c>
      <c r="BZ77" s="3"/>
      <c r="CA77" s="65">
        <f t="shared" si="737"/>
        <v>518552.75520000007</v>
      </c>
      <c r="CB77" s="68">
        <v>15</v>
      </c>
      <c r="CC77" s="65">
        <f t="shared" si="738"/>
        <v>619503.00000000012</v>
      </c>
      <c r="CD77" s="66">
        <f t="shared" si="739"/>
        <v>326.04802811824084</v>
      </c>
      <c r="CE77" s="67">
        <f t="shared" si="740"/>
        <v>0.19323561086357902</v>
      </c>
      <c r="CF77" s="65" t="e">
        <f t="shared" si="741"/>
        <v>#DIV/0!</v>
      </c>
      <c r="CG77" s="50">
        <f>(CG67*4)+(CG66*2)</f>
        <v>21001.253000466113</v>
      </c>
      <c r="CH77" s="68">
        <v>30</v>
      </c>
      <c r="CI77" s="65">
        <f t="shared" si="742"/>
        <v>1238991.0000000002</v>
      </c>
      <c r="CJ77" s="66">
        <f t="shared" si="743"/>
        <v>652.09434390771457</v>
      </c>
      <c r="CK77" s="67">
        <f t="shared" si="744"/>
        <v>0.22211257601177378</v>
      </c>
      <c r="CL77" s="65" t="e">
        <f t="shared" si="745"/>
        <v>#DIV/0!</v>
      </c>
      <c r="CM77" s="50">
        <f>(CM67*4)+(CM66*2)</f>
        <v>24139.662366382763</v>
      </c>
      <c r="CN77" s="68">
        <v>70</v>
      </c>
      <c r="CO77" s="65">
        <f t="shared" si="746"/>
        <v>2890959.0000000005</v>
      </c>
      <c r="CP77" s="66">
        <f t="shared" si="747"/>
        <v>1521.551186012978</v>
      </c>
      <c r="CQ77" s="67">
        <f t="shared" si="748"/>
        <v>0.28156865811813053</v>
      </c>
      <c r="CR77" s="65" t="e">
        <f t="shared" si="749"/>
        <v>#DIV/0!</v>
      </c>
      <c r="CS77" s="50">
        <f>(CS67*4)+(CS66*2)</f>
        <v>30601.474540400784</v>
      </c>
      <c r="CT77" s="69">
        <v>3.05</v>
      </c>
      <c r="CU77" s="3"/>
      <c r="CV77" s="65">
        <f t="shared" si="750"/>
        <v>518552.75520000007</v>
      </c>
      <c r="CW77" s="65">
        <v>15</v>
      </c>
      <c r="CX77" s="65">
        <f t="shared" si="751"/>
        <v>619503.00000000012</v>
      </c>
      <c r="CY77" s="66">
        <f t="shared" si="752"/>
        <v>326.04802811824084</v>
      </c>
      <c r="CZ77" s="67">
        <f t="shared" si="753"/>
        <v>1.730849627664772</v>
      </c>
      <c r="DA77" s="65" t="e">
        <f t="shared" si="754"/>
        <v>#DIV/0!</v>
      </c>
      <c r="DB77" s="50">
        <f>(DB67*4)+(DB66*2)</f>
        <v>188112.38142856042</v>
      </c>
      <c r="DC77" s="68">
        <v>30</v>
      </c>
      <c r="DD77" s="65">
        <f t="shared" si="755"/>
        <v>1238991.0000000002</v>
      </c>
      <c r="DE77" s="66">
        <f t="shared" si="756"/>
        <v>652.09434390771457</v>
      </c>
      <c r="DF77" s="67">
        <f t="shared" si="757"/>
        <v>1.7725230560025746</v>
      </c>
      <c r="DG77" s="65" t="e">
        <f t="shared" si="758"/>
        <v>#DIV/0!</v>
      </c>
      <c r="DH77" s="50">
        <f>(DH67*4)+(DH66*2)</f>
        <v>192641.53735384616</v>
      </c>
      <c r="DI77" s="68">
        <v>70</v>
      </c>
      <c r="DJ77" s="65">
        <f t="shared" si="759"/>
        <v>2890959.0000000005</v>
      </c>
      <c r="DK77" s="66">
        <f t="shared" si="760"/>
        <v>1521.551186012978</v>
      </c>
      <c r="DL77" s="67">
        <f t="shared" si="761"/>
        <v>1.8633938843994384</v>
      </c>
      <c r="DM77" s="65" t="e">
        <f t="shared" si="762"/>
        <v>#DIV/0!</v>
      </c>
      <c r="DN77" s="50">
        <f>(DN67*4)+(DN66*2)</f>
        <v>202517.57029102446</v>
      </c>
      <c r="DO77" s="69">
        <v>3.9</v>
      </c>
      <c r="DP77" s="7"/>
      <c r="DQ77" s="65">
        <f t="shared" si="763"/>
        <v>518552.75520000007</v>
      </c>
      <c r="DR77" s="65">
        <v>15</v>
      </c>
      <c r="DS77" s="65">
        <f t="shared" si="764"/>
        <v>619503.00000000012</v>
      </c>
      <c r="DT77" s="66">
        <f t="shared" si="765"/>
        <v>326.04802811824084</v>
      </c>
      <c r="DU77" s="67">
        <f t="shared" si="766"/>
        <v>0.12441452839179623</v>
      </c>
      <c r="DV77" s="65">
        <f t="shared" si="767"/>
        <v>362.27558679804537</v>
      </c>
      <c r="DW77" s="50">
        <f>(DW67*4)+(DW66*2)</f>
        <v>25563.286024669014</v>
      </c>
      <c r="DX77" s="68">
        <v>30</v>
      </c>
      <c r="DY77" s="65">
        <f t="shared" si="768"/>
        <v>1238991.0000000002</v>
      </c>
      <c r="DZ77" s="66">
        <f t="shared" si="769"/>
        <v>652.09434390771457</v>
      </c>
      <c r="EA77" s="67">
        <f t="shared" si="770"/>
        <v>0.15142590322464305</v>
      </c>
      <c r="EB77" s="65">
        <f t="shared" si="771"/>
        <v>724.54927100857174</v>
      </c>
      <c r="EC77" s="50">
        <f>(EC67*4)+(EC66*2)</f>
        <v>31113.276927637708</v>
      </c>
      <c r="ED77" s="68">
        <v>70</v>
      </c>
      <c r="EE77" s="65">
        <f t="shared" si="772"/>
        <v>2890959.0000000005</v>
      </c>
      <c r="EF77" s="66">
        <f t="shared" si="773"/>
        <v>1521.551186012978</v>
      </c>
      <c r="EG77" s="67">
        <f t="shared" si="774"/>
        <v>0.17227530645538763</v>
      </c>
      <c r="EH77" s="65">
        <f t="shared" si="775"/>
        <v>1690.6124289033087</v>
      </c>
      <c r="EI77" s="50">
        <f>(EI67*4)+(EI66*2)</f>
        <v>35397.175802797741</v>
      </c>
      <c r="EJ77" s="69">
        <v>3.9</v>
      </c>
    </row>
    <row r="78" spans="1:140">
      <c r="A78" s="48" t="str">
        <f t="shared" si="0"/>
        <v>ZmSa</v>
      </c>
      <c r="B78" s="49">
        <v>512</v>
      </c>
      <c r="C78" s="48" t="s">
        <v>88</v>
      </c>
      <c r="D78" s="48" t="s">
        <v>81</v>
      </c>
      <c r="E78" s="48" t="s">
        <v>85</v>
      </c>
      <c r="F78" s="6"/>
      <c r="G78" s="50">
        <v>60000</v>
      </c>
      <c r="H78" s="50">
        <f t="shared" ref="H78:L78" si="805">(H68*4)+(H66*2)</f>
        <v>48422</v>
      </c>
      <c r="I78" s="50">
        <f t="shared" si="805"/>
        <v>5384</v>
      </c>
      <c r="J78" s="50">
        <f t="shared" si="805"/>
        <v>3554</v>
      </c>
      <c r="K78" s="50">
        <f t="shared" si="805"/>
        <v>2640</v>
      </c>
      <c r="L78" s="50">
        <f t="shared" si="805"/>
        <v>13338</v>
      </c>
      <c r="M78" s="179"/>
      <c r="N78" s="107">
        <f t="shared" si="709"/>
        <v>0.2223</v>
      </c>
      <c r="O78" s="52">
        <f t="shared" si="710"/>
        <v>16416</v>
      </c>
      <c r="P78" s="52">
        <f t="shared" si="711"/>
        <v>13132.800000000001</v>
      </c>
      <c r="Q78" s="52">
        <f t="shared" si="712"/>
        <v>6566.4000000000005</v>
      </c>
      <c r="R78" s="52">
        <f t="shared" si="713"/>
        <v>5253.1200000000008</v>
      </c>
      <c r="S78" s="52">
        <f t="shared" si="4"/>
        <v>19699.2</v>
      </c>
      <c r="T78" s="3"/>
      <c r="U78" s="58">
        <f t="shared" si="714"/>
        <v>13338</v>
      </c>
      <c r="V78" s="56">
        <f t="shared" si="715"/>
        <v>0.2223</v>
      </c>
      <c r="W78" s="110">
        <f t="shared" si="716"/>
        <v>0.88919999999999999</v>
      </c>
      <c r="X78" s="113"/>
      <c r="Y78" s="57">
        <v>4</v>
      </c>
      <c r="Z78" s="58">
        <f t="shared" si="717"/>
        <v>53352</v>
      </c>
      <c r="AA78" s="58">
        <f t="shared" si="718"/>
        <v>42681.600000000006</v>
      </c>
      <c r="AB78" s="58">
        <f t="shared" si="719"/>
        <v>59918.400000000001</v>
      </c>
      <c r="AC78" s="50">
        <f>(AC68*4)+(AC66*2)</f>
        <v>50930.64</v>
      </c>
      <c r="AD78" s="58">
        <f t="shared" si="720"/>
        <v>42681.600000000006</v>
      </c>
      <c r="AE78" s="58">
        <f t="shared" si="721"/>
        <v>1368</v>
      </c>
      <c r="AF78" s="58">
        <f t="shared" si="722"/>
        <v>41313.600000000006</v>
      </c>
      <c r="AG78" s="3"/>
      <c r="AH78" s="58">
        <f t="shared" si="14"/>
        <v>13338</v>
      </c>
      <c r="AI78" s="50">
        <f t="shared" ref="AI78:AJ78" si="806">AI66*2+AI68*4</f>
        <v>13338</v>
      </c>
      <c r="AJ78" s="58">
        <f t="shared" si="806"/>
        <v>30208</v>
      </c>
      <c r="AK78" s="58">
        <f t="shared" si="778"/>
        <v>56884</v>
      </c>
      <c r="AL78" s="58">
        <f>AL66*2+AL68*4</f>
        <v>160056</v>
      </c>
      <c r="AM78" s="59">
        <f t="shared" si="724"/>
        <v>0.35540060978657467</v>
      </c>
      <c r="AN78" s="32"/>
      <c r="AO78" s="50">
        <f t="shared" ref="AO78:AP78" si="807">AO66*2+AO68*4</f>
        <v>760</v>
      </c>
      <c r="AP78" s="115">
        <f t="shared" si="807"/>
        <v>270</v>
      </c>
      <c r="AQ78" s="55">
        <f t="shared" si="726"/>
        <v>1030</v>
      </c>
      <c r="AR78" s="3"/>
      <c r="AS78" s="50">
        <f>(AS68*4)+(AS66*2)</f>
        <v>20</v>
      </c>
      <c r="AT78" s="3"/>
      <c r="AU78" s="58">
        <v>41</v>
      </c>
      <c r="AV78" s="58">
        <v>78</v>
      </c>
      <c r="AW78" s="58">
        <v>121</v>
      </c>
      <c r="AX78" s="62">
        <f>AX66*2+AX68*4</f>
        <v>1041.0146341463415</v>
      </c>
      <c r="AY78" s="62">
        <f t="shared" si="727"/>
        <v>547.20000000000005</v>
      </c>
      <c r="AZ78" s="62">
        <f t="shared" si="728"/>
        <v>12.8125</v>
      </c>
      <c r="BA78" s="62">
        <f t="shared" si="729"/>
        <v>24.374999999999996</v>
      </c>
      <c r="BB78" s="3"/>
      <c r="BC78" s="58" t="s">
        <v>89</v>
      </c>
      <c r="BD78" s="58">
        <f t="shared" si="730"/>
        <v>13338</v>
      </c>
      <c r="BE78" s="50">
        <f t="shared" ref="BE78:BF78" si="808">(BE68*4)+(BE66*2)</f>
        <v>45493.520000000004</v>
      </c>
      <c r="BF78" s="50" t="e" vm="2">
        <f t="shared" si="808"/>
        <v>#VALUE!</v>
      </c>
      <c r="BG78" s="58" t="e" vm="2">
        <f t="shared" si="732"/>
        <v>#VALUE!</v>
      </c>
      <c r="BH78" s="58">
        <f t="shared" si="733"/>
        <v>6566.4000000000005</v>
      </c>
      <c r="BI78" s="50" t="e" vm="2">
        <f t="shared" ref="BI78:BJ78" si="809">(BI68*4)+(BI66*2)</f>
        <v>#VALUE!</v>
      </c>
      <c r="BJ78" s="50">
        <f t="shared" si="809"/>
        <v>587.20000000000005</v>
      </c>
      <c r="BK78" s="64">
        <v>0.18</v>
      </c>
      <c r="BL78" s="50">
        <f t="shared" ref="BL78:BR78" si="810">(BL68*4)+(BL66*2)</f>
        <v>7682.6880000000001</v>
      </c>
      <c r="BM78" s="50">
        <f t="shared" si="810"/>
        <v>28634.975999999999</v>
      </c>
      <c r="BN78" s="50">
        <f t="shared" si="810"/>
        <v>29001.600000000002</v>
      </c>
      <c r="BO78" s="50">
        <f t="shared" si="810"/>
        <v>4377.6000000000004</v>
      </c>
      <c r="BP78" s="50">
        <f t="shared" si="810"/>
        <v>45493.520000000004</v>
      </c>
      <c r="BQ78" s="50">
        <f t="shared" si="810"/>
        <v>92</v>
      </c>
      <c r="BR78" s="50" t="e" vm="2">
        <f t="shared" si="810"/>
        <v>#VALUE!</v>
      </c>
      <c r="BS78" s="26"/>
      <c r="BT78" s="50">
        <f t="shared" ref="BT78:BW78" si="811">(BT68*4)+(BT66*2)</f>
        <v>23901.696000000004</v>
      </c>
      <c r="BU78" s="50">
        <f t="shared" si="811"/>
        <v>243711.93600000002</v>
      </c>
      <c r="BV78" s="50">
        <f t="shared" si="811"/>
        <v>31190.400000000001</v>
      </c>
      <c r="BW78" s="50">
        <f t="shared" si="811"/>
        <v>15321.6</v>
      </c>
      <c r="BX78" s="50"/>
      <c r="BY78" s="50">
        <f>(BY68*4)+(BY66*2)</f>
        <v>20</v>
      </c>
      <c r="BZ78" s="3"/>
      <c r="CA78" s="65">
        <f t="shared" si="737"/>
        <v>535910.16960000014</v>
      </c>
      <c r="CB78" s="68">
        <v>15</v>
      </c>
      <c r="CC78" s="65">
        <f t="shared" si="738"/>
        <v>640239.00000000012</v>
      </c>
      <c r="CD78" s="66">
        <f t="shared" si="739"/>
        <v>336.96171232876713</v>
      </c>
      <c r="CE78" s="67">
        <f t="shared" si="740"/>
        <v>0.18764830916580325</v>
      </c>
      <c r="CF78" s="65" t="e">
        <f t="shared" si="741"/>
        <v>#DIV/0!</v>
      </c>
      <c r="CG78" s="50">
        <f>(CG68*4)+(CG66*2)</f>
        <v>21076.658085503022</v>
      </c>
      <c r="CH78" s="68">
        <v>30</v>
      </c>
      <c r="CI78" s="65">
        <f t="shared" si="742"/>
        <v>1280463.0000000002</v>
      </c>
      <c r="CJ78" s="66">
        <f t="shared" si="743"/>
        <v>673.92171232876717</v>
      </c>
      <c r="CK78" s="67">
        <f t="shared" si="744"/>
        <v>0.22493110844926362</v>
      </c>
      <c r="CL78" s="65" t="e">
        <f t="shared" si="745"/>
        <v>#DIV/0!</v>
      </c>
      <c r="CM78" s="50">
        <f>(CM68*4)+(CM66*2)</f>
        <v>25264.26210102129</v>
      </c>
      <c r="CN78" s="68">
        <v>70</v>
      </c>
      <c r="CO78" s="65">
        <f t="shared" si="746"/>
        <v>2987727.0000000005</v>
      </c>
      <c r="CP78" s="66">
        <f t="shared" si="747"/>
        <v>1572.4817123287673</v>
      </c>
      <c r="CQ78" s="67">
        <f t="shared" si="748"/>
        <v>0.28612352090794507</v>
      </c>
      <c r="CR78" s="65" t="e">
        <f t="shared" si="749"/>
        <v>#DIV/0!</v>
      </c>
      <c r="CS78" s="50">
        <f>(CS68*4)+(CS66*2)</f>
        <v>32137.393868380394</v>
      </c>
      <c r="CT78" s="69">
        <v>3.05</v>
      </c>
      <c r="CU78" s="3"/>
      <c r="CV78" s="65">
        <f t="shared" si="750"/>
        <v>535910.16960000014</v>
      </c>
      <c r="CW78" s="65">
        <v>15</v>
      </c>
      <c r="CX78" s="65">
        <f t="shared" si="751"/>
        <v>640239.00000000012</v>
      </c>
      <c r="CY78" s="66">
        <f t="shared" si="752"/>
        <v>336.96171232876713</v>
      </c>
      <c r="CZ78" s="67">
        <f t="shared" si="753"/>
        <v>1.7249522607984238</v>
      </c>
      <c r="DA78" s="65" t="e">
        <f t="shared" si="754"/>
        <v>#DIV/0!</v>
      </c>
      <c r="DB78" s="50">
        <f>(DB68*4)+(DB66*2)</f>
        <v>193746.63793287898</v>
      </c>
      <c r="DC78" s="68">
        <v>30</v>
      </c>
      <c r="DD78" s="65">
        <f t="shared" si="755"/>
        <v>1280463.0000000002</v>
      </c>
      <c r="DE78" s="66">
        <f t="shared" si="756"/>
        <v>673.92171232876717</v>
      </c>
      <c r="DF78" s="67">
        <f t="shared" si="757"/>
        <v>1.7749420857988165</v>
      </c>
      <c r="DG78" s="65" t="e">
        <f t="shared" si="758"/>
        <v>#DIV/0!</v>
      </c>
      <c r="DH78" s="50">
        <f>(DH68*4)+(DH66*2)</f>
        <v>199361.49507692308</v>
      </c>
      <c r="DI78" s="68">
        <v>70</v>
      </c>
      <c r="DJ78" s="65">
        <f t="shared" si="759"/>
        <v>2987727.0000000005</v>
      </c>
      <c r="DK78" s="66">
        <f t="shared" si="760"/>
        <v>1572.4817123287673</v>
      </c>
      <c r="DL78" s="67">
        <f t="shared" si="761"/>
        <v>1.8692283676544272</v>
      </c>
      <c r="DM78" s="65" t="e">
        <f t="shared" si="762"/>
        <v>#DIV/0!</v>
      </c>
      <c r="DN78" s="50">
        <f>(DN68*4)+(DN66*2)</f>
        <v>209951.73025494529</v>
      </c>
      <c r="DO78" s="69">
        <v>3.9</v>
      </c>
      <c r="DP78" s="7"/>
      <c r="DQ78" s="65">
        <f t="shared" si="763"/>
        <v>535910.16960000014</v>
      </c>
      <c r="DR78" s="65">
        <v>15</v>
      </c>
      <c r="DS78" s="65">
        <f t="shared" si="764"/>
        <v>640239.00000000012</v>
      </c>
      <c r="DT78" s="66">
        <f t="shared" si="765"/>
        <v>336.96171232876713</v>
      </c>
      <c r="DU78" s="67">
        <f t="shared" si="766"/>
        <v>0.10371465220564763</v>
      </c>
      <c r="DV78" s="65">
        <f t="shared" si="767"/>
        <v>374.40190258751903</v>
      </c>
      <c r="DW78" s="50">
        <f>(DW68*4)+(DW66*2)</f>
        <v>22023.419400898361</v>
      </c>
      <c r="DX78" s="68">
        <v>30</v>
      </c>
      <c r="DY78" s="65">
        <f t="shared" si="768"/>
        <v>1280463.0000000002</v>
      </c>
      <c r="DZ78" s="66">
        <f t="shared" si="769"/>
        <v>673.92171232876717</v>
      </c>
      <c r="EA78" s="67">
        <f t="shared" si="770"/>
        <v>0.15391776891110551</v>
      </c>
      <c r="EB78" s="65">
        <f t="shared" si="771"/>
        <v>748.80190258751907</v>
      </c>
      <c r="EC78" s="50">
        <f>(EC68*4)+(EC66*2)</f>
        <v>32683.863908240004</v>
      </c>
      <c r="ED78" s="68">
        <v>70</v>
      </c>
      <c r="EE78" s="65">
        <f t="shared" si="772"/>
        <v>2987727.0000000005</v>
      </c>
      <c r="EF78" s="66">
        <f t="shared" si="773"/>
        <v>1572.4817123287673</v>
      </c>
      <c r="EG78" s="67">
        <f t="shared" si="774"/>
        <v>0.17539699395029923</v>
      </c>
      <c r="EH78" s="65">
        <f t="shared" si="775"/>
        <v>1747.2019025875193</v>
      </c>
      <c r="EI78" s="50">
        <f>(EI68*4)+(EI66*2)</f>
        <v>37244.897198950704</v>
      </c>
      <c r="EJ78" s="69">
        <v>3.9</v>
      </c>
    </row>
    <row r="79" spans="1:140">
      <c r="A79" s="70" t="str">
        <f t="shared" si="0"/>
        <v>ZhGi</v>
      </c>
      <c r="B79" s="71">
        <v>520</v>
      </c>
      <c r="C79" s="70" t="s">
        <v>88</v>
      </c>
      <c r="D79" s="70" t="s">
        <v>82</v>
      </c>
      <c r="E79" s="70" t="s">
        <v>83</v>
      </c>
      <c r="F79" s="6"/>
      <c r="G79" s="72">
        <v>60000</v>
      </c>
      <c r="H79" s="72">
        <f t="shared" ref="H79:L79" si="812">H69*6</f>
        <v>43350</v>
      </c>
      <c r="I79" s="72">
        <f t="shared" si="812"/>
        <v>6984</v>
      </c>
      <c r="J79" s="72">
        <f t="shared" si="812"/>
        <v>5586</v>
      </c>
      <c r="K79" s="72">
        <f t="shared" si="812"/>
        <v>4080</v>
      </c>
      <c r="L79" s="72">
        <f t="shared" si="812"/>
        <v>17496</v>
      </c>
      <c r="M79" s="123"/>
      <c r="N79" s="91">
        <f t="shared" si="709"/>
        <v>0.29160000000000003</v>
      </c>
      <c r="O79" s="124">
        <f t="shared" si="710"/>
        <v>26916.923076923078</v>
      </c>
      <c r="P79" s="124">
        <f t="shared" si="711"/>
        <v>21533.538461538465</v>
      </c>
      <c r="Q79" s="124">
        <f t="shared" si="712"/>
        <v>10766.76923076923</v>
      </c>
      <c r="R79" s="124">
        <f t="shared" si="713"/>
        <v>8613.415384615384</v>
      </c>
      <c r="S79" s="72">
        <f t="shared" si="4"/>
        <v>32300.307692307691</v>
      </c>
      <c r="T79" s="3"/>
      <c r="U79" s="77">
        <f t="shared" si="714"/>
        <v>17496</v>
      </c>
      <c r="V79" s="78">
        <f t="shared" si="715"/>
        <v>0.29160000000000003</v>
      </c>
      <c r="W79" s="111">
        <f t="shared" si="716"/>
        <v>1.458</v>
      </c>
      <c r="X79" s="32"/>
      <c r="Y79" s="79">
        <v>5</v>
      </c>
      <c r="Z79" s="77">
        <f t="shared" si="717"/>
        <v>87480</v>
      </c>
      <c r="AA79" s="77">
        <f t="shared" si="718"/>
        <v>69984</v>
      </c>
      <c r="AB79" s="77">
        <f t="shared" si="719"/>
        <v>98246.769230769234</v>
      </c>
      <c r="AC79" s="72">
        <f>AC69*6</f>
        <v>83509.75384615385</v>
      </c>
      <c r="AD79" s="77">
        <f t="shared" si="720"/>
        <v>69984</v>
      </c>
      <c r="AE79" s="77">
        <f t="shared" si="721"/>
        <v>2243.0769230769233</v>
      </c>
      <c r="AF79" s="77">
        <f t="shared" si="722"/>
        <v>67740.923076923078</v>
      </c>
      <c r="AG79" s="3"/>
      <c r="AH79" s="77">
        <f t="shared" si="14"/>
        <v>17496</v>
      </c>
      <c r="AI79" s="72">
        <f t="shared" ref="AI79:AL79" si="813">AI69*6</f>
        <v>17496</v>
      </c>
      <c r="AJ79" s="77">
        <f t="shared" si="813"/>
        <v>48600</v>
      </c>
      <c r="AK79" s="77">
        <f t="shared" si="813"/>
        <v>83592</v>
      </c>
      <c r="AL79" s="77">
        <f t="shared" si="813"/>
        <v>262440</v>
      </c>
      <c r="AM79" s="80">
        <f t="shared" si="724"/>
        <v>0.31851851851851853</v>
      </c>
      <c r="AN79" s="32"/>
      <c r="AO79" s="72">
        <f t="shared" ref="AO79:AP79" si="814">AO69*6</f>
        <v>1200</v>
      </c>
      <c r="AP79" s="116">
        <f t="shared" si="814"/>
        <v>324</v>
      </c>
      <c r="AQ79" s="82">
        <f t="shared" si="726"/>
        <v>1524</v>
      </c>
      <c r="AR79" s="3"/>
      <c r="AS79" s="72">
        <f>AS69*6</f>
        <v>24</v>
      </c>
      <c r="AT79" s="3"/>
      <c r="AU79" s="77">
        <v>41</v>
      </c>
      <c r="AV79" s="77">
        <v>78</v>
      </c>
      <c r="AW79" s="77">
        <v>121</v>
      </c>
      <c r="AX79" s="83">
        <f>AX69*6</f>
        <v>1706.9268292682927</v>
      </c>
      <c r="AY79" s="83">
        <f t="shared" si="727"/>
        <v>897.23076923076928</v>
      </c>
      <c r="AZ79" s="83">
        <f t="shared" si="728"/>
        <v>10.25</v>
      </c>
      <c r="BA79" s="83">
        <f t="shared" si="729"/>
        <v>19.5</v>
      </c>
      <c r="BB79" s="3"/>
      <c r="BC79" s="77" t="s">
        <v>89</v>
      </c>
      <c r="BD79" s="77">
        <f t="shared" si="730"/>
        <v>17496</v>
      </c>
      <c r="BE79" s="72">
        <f t="shared" ref="BE79:BF79" si="815">BE69*6</f>
        <v>74176.338461538457</v>
      </c>
      <c r="BF79" s="72" t="e" vm="2">
        <f t="shared" si="815"/>
        <v>#VALUE!</v>
      </c>
      <c r="BG79" s="77" t="e" vm="2">
        <f t="shared" si="732"/>
        <v>#VALUE!</v>
      </c>
      <c r="BH79" s="77">
        <f t="shared" si="733"/>
        <v>10766.76923076923</v>
      </c>
      <c r="BI79" s="72" t="e" vm="2">
        <f t="shared" ref="BI79:BJ79" si="816">BI69*6</f>
        <v>#VALUE!</v>
      </c>
      <c r="BJ79" s="72">
        <f t="shared" si="816"/>
        <v>945.23076923076928</v>
      </c>
      <c r="BK79" s="85">
        <v>0.18</v>
      </c>
      <c r="BL79" s="72">
        <f t="shared" ref="BL79:BR79" si="817">BL69*6</f>
        <v>12597.119999999999</v>
      </c>
      <c r="BM79" s="72">
        <f t="shared" si="817"/>
        <v>46952.086153846154</v>
      </c>
      <c r="BN79" s="72">
        <f t="shared" si="817"/>
        <v>47553.230769230773</v>
      </c>
      <c r="BO79" s="72">
        <f t="shared" si="817"/>
        <v>7177.8461538461543</v>
      </c>
      <c r="BP79" s="72">
        <f t="shared" si="817"/>
        <v>74176.338461538457</v>
      </c>
      <c r="BQ79" s="72">
        <f t="shared" si="817"/>
        <v>360</v>
      </c>
      <c r="BR79" s="72" t="e" vm="2">
        <f t="shared" si="817"/>
        <v>#VALUE!</v>
      </c>
      <c r="BS79" s="26"/>
      <c r="BT79" s="72">
        <f t="shared" ref="BT79:BW79" si="818">BT69*6</f>
        <v>39191.040000000008</v>
      </c>
      <c r="BU79" s="72">
        <f t="shared" si="818"/>
        <v>399608.64</v>
      </c>
      <c r="BV79" s="72">
        <f t="shared" si="818"/>
        <v>51142.153846153851</v>
      </c>
      <c r="BW79" s="72">
        <f t="shared" si="818"/>
        <v>25122.461538461543</v>
      </c>
      <c r="BX79" s="72"/>
      <c r="BY79" s="72">
        <f>BY69*6</f>
        <v>72</v>
      </c>
      <c r="BZ79" s="3"/>
      <c r="CA79" s="86">
        <f t="shared" si="737"/>
        <v>878719.10400000005</v>
      </c>
      <c r="CB79" s="89">
        <v>15</v>
      </c>
      <c r="CC79" s="86">
        <f t="shared" si="738"/>
        <v>1049775</v>
      </c>
      <c r="CD79" s="87">
        <f t="shared" si="739"/>
        <v>552.50697548666187</v>
      </c>
      <c r="CE79" s="88">
        <f t="shared" si="740"/>
        <v>0.18411901037010961</v>
      </c>
      <c r="CF79" s="86" t="e">
        <f t="shared" si="741"/>
        <v>#DIV/0!</v>
      </c>
      <c r="CG79" s="72">
        <f>CG69*6</f>
        <v>33908.907425636186</v>
      </c>
      <c r="CH79" s="89">
        <v>30</v>
      </c>
      <c r="CI79" s="86">
        <f t="shared" si="742"/>
        <v>2099535</v>
      </c>
      <c r="CJ79" s="87">
        <f t="shared" si="743"/>
        <v>1105.0122386445566</v>
      </c>
      <c r="CK79" s="88">
        <f t="shared" si="744"/>
        <v>0.21029145115821729</v>
      </c>
      <c r="CL79" s="86" t="e">
        <f t="shared" si="745"/>
        <v>#DIV/0!</v>
      </c>
      <c r="CM79" s="72">
        <f>CM69*6</f>
        <v>38729.044520675474</v>
      </c>
      <c r="CN79" s="89">
        <v>70</v>
      </c>
      <c r="CO79" s="86">
        <f t="shared" si="746"/>
        <v>4898895</v>
      </c>
      <c r="CP79" s="87">
        <f t="shared" si="747"/>
        <v>2578.359607065609</v>
      </c>
      <c r="CQ79" s="88">
        <f t="shared" si="748"/>
        <v>0.2606758082611057</v>
      </c>
      <c r="CR79" s="86" t="e">
        <f t="shared" si="749"/>
        <v>#DIV/0!</v>
      </c>
      <c r="CS79" s="72">
        <f>CS69*6</f>
        <v>48008.252014066376</v>
      </c>
      <c r="CT79" s="90">
        <v>3.05</v>
      </c>
      <c r="CU79" s="3"/>
      <c r="CV79" s="86">
        <f t="shared" si="750"/>
        <v>878719.10400000005</v>
      </c>
      <c r="CW79" s="86">
        <v>15</v>
      </c>
      <c r="CX79" s="86">
        <f t="shared" si="751"/>
        <v>1049775</v>
      </c>
      <c r="CY79" s="87">
        <f t="shared" si="752"/>
        <v>552.50697548666187</v>
      </c>
      <c r="CZ79" s="88">
        <f t="shared" si="753"/>
        <v>1.4696542465275864</v>
      </c>
      <c r="DA79" s="86" t="e">
        <f t="shared" si="754"/>
        <v>#DIV/0!</v>
      </c>
      <c r="DB79" s="72">
        <f>DB69*6</f>
        <v>270663.90207628056</v>
      </c>
      <c r="DC79" s="89">
        <v>30</v>
      </c>
      <c r="DD79" s="86">
        <f t="shared" si="755"/>
        <v>2099535</v>
      </c>
      <c r="DE79" s="87">
        <f t="shared" si="756"/>
        <v>1105.0122386445566</v>
      </c>
      <c r="DF79" s="88">
        <f t="shared" si="757"/>
        <v>1.5054284615384614</v>
      </c>
      <c r="DG79" s="86" t="e">
        <f t="shared" si="758"/>
        <v>#DIV/0!</v>
      </c>
      <c r="DH79" s="72">
        <f>DH69*6</f>
        <v>277252.38276923075</v>
      </c>
      <c r="DI79" s="89">
        <v>70</v>
      </c>
      <c r="DJ79" s="86">
        <f t="shared" si="759"/>
        <v>4898895</v>
      </c>
      <c r="DK79" s="87">
        <f t="shared" si="760"/>
        <v>2578.359607065609</v>
      </c>
      <c r="DL79" s="88">
        <f t="shared" si="761"/>
        <v>1.5872106289166843</v>
      </c>
      <c r="DM79" s="86" t="e">
        <f t="shared" si="762"/>
        <v>#DIV/0!</v>
      </c>
      <c r="DN79" s="72">
        <f>DN69*6</f>
        <v>292314.07540554012</v>
      </c>
      <c r="DO79" s="90">
        <v>3.9</v>
      </c>
      <c r="DP79" s="7"/>
      <c r="DQ79" s="86">
        <f t="shared" si="763"/>
        <v>878719.10400000005</v>
      </c>
      <c r="DR79" s="86">
        <v>15</v>
      </c>
      <c r="DS79" s="86">
        <f t="shared" si="764"/>
        <v>1049775</v>
      </c>
      <c r="DT79" s="87">
        <f t="shared" si="765"/>
        <v>552.50697548666187</v>
      </c>
      <c r="DU79" s="88">
        <f t="shared" si="766"/>
        <v>0.10128129103240789</v>
      </c>
      <c r="DV79" s="86">
        <f t="shared" si="767"/>
        <v>613.89663942962432</v>
      </c>
      <c r="DW79" s="72">
        <f>DW69*6</f>
        <v>35264.029212000169</v>
      </c>
      <c r="DX79" s="89">
        <v>30</v>
      </c>
      <c r="DY79" s="86">
        <f t="shared" si="768"/>
        <v>2099535</v>
      </c>
      <c r="DZ79" s="87">
        <f t="shared" si="769"/>
        <v>1105.0122386445566</v>
      </c>
      <c r="EA79" s="88">
        <f t="shared" si="770"/>
        <v>0.1367536155319275</v>
      </c>
      <c r="EB79" s="86">
        <f t="shared" si="771"/>
        <v>1227.7913762717296</v>
      </c>
      <c r="EC79" s="72">
        <f>EC69*6</f>
        <v>47614.751389982157</v>
      </c>
      <c r="ED79" s="89">
        <v>70</v>
      </c>
      <c r="EE79" s="86">
        <f t="shared" si="772"/>
        <v>4898895</v>
      </c>
      <c r="EF79" s="87">
        <f t="shared" si="773"/>
        <v>2578.359607065609</v>
      </c>
      <c r="EG79" s="88">
        <f t="shared" si="774"/>
        <v>0.15339659928929711</v>
      </c>
      <c r="EH79" s="86">
        <f t="shared" si="775"/>
        <v>2864.8440078506765</v>
      </c>
      <c r="EI79" s="72">
        <f>EI69*6</f>
        <v>53409.490570458554</v>
      </c>
      <c r="EJ79" s="90">
        <v>3.9</v>
      </c>
    </row>
    <row r="80" spans="1:140">
      <c r="A80" s="70" t="str">
        <f t="shared" si="0"/>
        <v>ZhSc</v>
      </c>
      <c r="B80" s="71">
        <v>521</v>
      </c>
      <c r="C80" s="70" t="s">
        <v>88</v>
      </c>
      <c r="D80" s="70" t="s">
        <v>82</v>
      </c>
      <c r="E80" s="70" t="s">
        <v>84</v>
      </c>
      <c r="F80" s="6"/>
      <c r="G80" s="72">
        <v>60000</v>
      </c>
      <c r="H80" s="72">
        <f t="shared" ref="H80:L80" si="819">(H70*4)+(H69*2)</f>
        <v>48450</v>
      </c>
      <c r="I80" s="72">
        <f t="shared" si="819"/>
        <v>4728</v>
      </c>
      <c r="J80" s="72">
        <f t="shared" si="819"/>
        <v>4102</v>
      </c>
      <c r="K80" s="72">
        <f t="shared" si="819"/>
        <v>2720</v>
      </c>
      <c r="L80" s="72">
        <f t="shared" si="819"/>
        <v>12906</v>
      </c>
      <c r="M80" s="183"/>
      <c r="N80" s="91">
        <f t="shared" si="709"/>
        <v>0.21510000000000001</v>
      </c>
      <c r="O80" s="124">
        <f t="shared" si="710"/>
        <v>19855.384615384613</v>
      </c>
      <c r="P80" s="124">
        <f t="shared" si="711"/>
        <v>15884.307692307691</v>
      </c>
      <c r="Q80" s="124">
        <f t="shared" si="712"/>
        <v>7942.1538461538457</v>
      </c>
      <c r="R80" s="124">
        <f t="shared" si="713"/>
        <v>6353.7230769230773</v>
      </c>
      <c r="S80" s="72">
        <f t="shared" si="4"/>
        <v>23826.461538461539</v>
      </c>
      <c r="T80" s="3"/>
      <c r="U80" s="77">
        <f t="shared" si="714"/>
        <v>12906</v>
      </c>
      <c r="V80" s="78">
        <f t="shared" si="715"/>
        <v>0.21510000000000001</v>
      </c>
      <c r="W80" s="111">
        <f t="shared" si="716"/>
        <v>1.0754999999999999</v>
      </c>
      <c r="X80" s="32"/>
      <c r="Y80" s="79">
        <v>5</v>
      </c>
      <c r="Z80" s="77">
        <f t="shared" si="717"/>
        <v>64530</v>
      </c>
      <c r="AA80" s="77">
        <f t="shared" si="718"/>
        <v>51624</v>
      </c>
      <c r="AB80" s="77">
        <f t="shared" si="719"/>
        <v>72472.153846153844</v>
      </c>
      <c r="AC80" s="72">
        <f>(AC70*4)+(AC69*2)</f>
        <v>61601.330769230764</v>
      </c>
      <c r="AD80" s="77">
        <f t="shared" si="720"/>
        <v>51624</v>
      </c>
      <c r="AE80" s="77">
        <f t="shared" si="721"/>
        <v>1654.6153846153845</v>
      </c>
      <c r="AF80" s="77">
        <f t="shared" si="722"/>
        <v>49969.384615384617</v>
      </c>
      <c r="AG80" s="3"/>
      <c r="AH80" s="77">
        <f t="shared" si="14"/>
        <v>12906</v>
      </c>
      <c r="AI80" s="73">
        <f t="shared" ref="AI80:AJ80" si="820">AI69*2+AI70*4</f>
        <v>12906</v>
      </c>
      <c r="AJ80" s="77">
        <f t="shared" si="820"/>
        <v>35160</v>
      </c>
      <c r="AK80" s="77">
        <f t="shared" ref="AK80:AK81" si="821">SUM(AH80:AJ80)</f>
        <v>60972</v>
      </c>
      <c r="AL80" s="77">
        <f>AL69*2+AL70*4</f>
        <v>193590</v>
      </c>
      <c r="AM80" s="80">
        <f t="shared" si="724"/>
        <v>0.31495428482876181</v>
      </c>
      <c r="AN80" s="32"/>
      <c r="AO80" s="72">
        <f t="shared" ref="AO80:AP80" si="822">AO69*2+AO70*4</f>
        <v>800</v>
      </c>
      <c r="AP80" s="116">
        <f t="shared" si="822"/>
        <v>216</v>
      </c>
      <c r="AQ80" s="82">
        <f t="shared" si="726"/>
        <v>1016</v>
      </c>
      <c r="AR80" s="3"/>
      <c r="AS80" s="72">
        <f>(AS70*4)+(AS69*2)</f>
        <v>16</v>
      </c>
      <c r="AT80" s="3"/>
      <c r="AU80" s="77">
        <v>41</v>
      </c>
      <c r="AV80" s="77">
        <v>78</v>
      </c>
      <c r="AW80" s="77">
        <v>121</v>
      </c>
      <c r="AX80" s="83">
        <f>AX69*2+AX70*4</f>
        <v>1259.1219512195121</v>
      </c>
      <c r="AY80" s="83">
        <f t="shared" si="727"/>
        <v>661.84615384615381</v>
      </c>
      <c r="AZ80" s="83">
        <f t="shared" si="728"/>
        <v>10.250000000000002</v>
      </c>
      <c r="BA80" s="83">
        <f t="shared" si="729"/>
        <v>19.5</v>
      </c>
      <c r="BB80" s="3"/>
      <c r="BC80" s="77" t="s">
        <v>89</v>
      </c>
      <c r="BD80" s="77">
        <f t="shared" si="730"/>
        <v>12906</v>
      </c>
      <c r="BE80" s="72">
        <f t="shared" ref="BE80:BF80" si="823">(BE70*4)+(BE69*2)</f>
        <v>54727.607692307691</v>
      </c>
      <c r="BF80" s="72" t="e" vm="2">
        <f t="shared" si="823"/>
        <v>#VALUE!</v>
      </c>
      <c r="BG80" s="77" t="e" vm="2">
        <f t="shared" si="732"/>
        <v>#VALUE!</v>
      </c>
      <c r="BH80" s="77">
        <f t="shared" si="733"/>
        <v>7942.1538461538457</v>
      </c>
      <c r="BI80" s="72" t="e" vm="2">
        <f t="shared" ref="BI80:BJ80" si="824">(BI70*4)+(BI69*2)</f>
        <v>#VALUE!</v>
      </c>
      <c r="BJ80" s="72">
        <f t="shared" si="824"/>
        <v>693.84615384615381</v>
      </c>
      <c r="BK80" s="85">
        <v>0.18</v>
      </c>
      <c r="BL80" s="72">
        <f t="shared" ref="BL80:BR80" si="825">(BL70*4)+(BL69*2)</f>
        <v>9292.32</v>
      </c>
      <c r="BM80" s="72">
        <f t="shared" si="825"/>
        <v>34634.409230769234</v>
      </c>
      <c r="BN80" s="72">
        <f t="shared" si="825"/>
        <v>35077.846153846156</v>
      </c>
      <c r="BO80" s="72">
        <f t="shared" si="825"/>
        <v>5294.7692307692305</v>
      </c>
      <c r="BP80" s="72">
        <f t="shared" si="825"/>
        <v>54727.607692307691</v>
      </c>
      <c r="BQ80" s="72">
        <f t="shared" si="825"/>
        <v>260</v>
      </c>
      <c r="BR80" s="72" t="e" vm="2">
        <f t="shared" si="825"/>
        <v>#VALUE!</v>
      </c>
      <c r="BS80" s="26"/>
      <c r="BT80" s="72">
        <f t="shared" ref="BT80:BW80" si="826">(BT70*4)+(BT69*2)</f>
        <v>28909.440000000002</v>
      </c>
      <c r="BU80" s="72">
        <f t="shared" si="826"/>
        <v>294773.04000000004</v>
      </c>
      <c r="BV80" s="72">
        <f t="shared" si="826"/>
        <v>37725.230769230766</v>
      </c>
      <c r="BW80" s="72">
        <f t="shared" si="826"/>
        <v>18531.692307692309</v>
      </c>
      <c r="BX80" s="72"/>
      <c r="BY80" s="72">
        <f>(BY70*4)+(BY69*2)</f>
        <v>52</v>
      </c>
      <c r="BZ80" s="3"/>
      <c r="CA80" s="86">
        <f t="shared" si="737"/>
        <v>648190.94400000002</v>
      </c>
      <c r="CB80" s="89">
        <v>15</v>
      </c>
      <c r="CC80" s="86">
        <f t="shared" si="738"/>
        <v>774375</v>
      </c>
      <c r="CD80" s="87">
        <f t="shared" si="739"/>
        <v>407.55960706560921</v>
      </c>
      <c r="CE80" s="88">
        <f t="shared" si="740"/>
        <v>0.19486071030552882</v>
      </c>
      <c r="CF80" s="86" t="e">
        <f t="shared" si="741"/>
        <v>#DIV/0!</v>
      </c>
      <c r="CG80" s="72">
        <f>(CG70*4)+(CG69*2)</f>
        <v>26472.340286348994</v>
      </c>
      <c r="CH80" s="89">
        <v>30</v>
      </c>
      <c r="CI80" s="86">
        <f t="shared" si="742"/>
        <v>1548735</v>
      </c>
      <c r="CJ80" s="87">
        <f t="shared" si="743"/>
        <v>815.11750180245133</v>
      </c>
      <c r="CK80" s="88">
        <f t="shared" si="744"/>
        <v>0.21259722198463218</v>
      </c>
      <c r="CL80" s="86" t="e">
        <f t="shared" si="745"/>
        <v>#DIV/0!</v>
      </c>
      <c r="CM80" s="72">
        <f>(CM70*4)+(CM69*2)</f>
        <v>28881.892072985924</v>
      </c>
      <c r="CN80" s="89">
        <v>70</v>
      </c>
      <c r="CO80" s="86">
        <f t="shared" si="746"/>
        <v>3613695</v>
      </c>
      <c r="CP80" s="87">
        <f t="shared" si="747"/>
        <v>1901.9385544340303</v>
      </c>
      <c r="CQ80" s="88">
        <f t="shared" si="748"/>
        <v>0.26479237491000962</v>
      </c>
      <c r="CR80" s="86" t="e">
        <f t="shared" si="749"/>
        <v>#DIV/0!</v>
      </c>
      <c r="CS80" s="72">
        <f>(CS70*4)+(CS69*2)</f>
        <v>35972.740953564047</v>
      </c>
      <c r="CT80" s="90">
        <v>3.05</v>
      </c>
      <c r="CU80" s="3"/>
      <c r="CV80" s="86">
        <f t="shared" si="750"/>
        <v>648190.94400000002</v>
      </c>
      <c r="CW80" s="86">
        <v>15</v>
      </c>
      <c r="CX80" s="86">
        <f t="shared" si="751"/>
        <v>774375</v>
      </c>
      <c r="CY80" s="87">
        <f t="shared" si="752"/>
        <v>407.55960706560921</v>
      </c>
      <c r="CZ80" s="88">
        <f t="shared" si="753"/>
        <v>1.4789150787344192</v>
      </c>
      <c r="DA80" s="86" t="e">
        <f t="shared" si="754"/>
        <v>#DIV/0!</v>
      </c>
      <c r="DB80" s="72">
        <f>(DB70*4)+(DB69*2)</f>
        <v>200914.50532785698</v>
      </c>
      <c r="DC80" s="89">
        <v>30</v>
      </c>
      <c r="DD80" s="86">
        <f t="shared" si="755"/>
        <v>1548735</v>
      </c>
      <c r="DE80" s="87">
        <f t="shared" si="756"/>
        <v>815.11750180245133</v>
      </c>
      <c r="DF80" s="88">
        <f t="shared" si="757"/>
        <v>1.507913856614097</v>
      </c>
      <c r="DG80" s="86" t="e">
        <f t="shared" si="758"/>
        <v>#DIV/0!</v>
      </c>
      <c r="DH80" s="72">
        <f>(DH70*4)+(DH69*2)</f>
        <v>204854.06561538461</v>
      </c>
      <c r="DI80" s="89">
        <v>70</v>
      </c>
      <c r="DJ80" s="86">
        <f t="shared" si="759"/>
        <v>3613695</v>
      </c>
      <c r="DK80" s="87">
        <f t="shared" si="760"/>
        <v>1901.9385544340303</v>
      </c>
      <c r="DL80" s="88">
        <f t="shared" si="761"/>
        <v>1.5916547341758112</v>
      </c>
      <c r="DM80" s="86" t="e">
        <f t="shared" si="762"/>
        <v>#DIV/0!</v>
      </c>
      <c r="DN80" s="72">
        <f>(DN70*4)+(DN69*2)</f>
        <v>216230.48420287389</v>
      </c>
      <c r="DO80" s="90">
        <v>3.9</v>
      </c>
      <c r="DP80" s="7"/>
      <c r="DQ80" s="86">
        <f t="shared" si="763"/>
        <v>648190.94400000002</v>
      </c>
      <c r="DR80" s="86">
        <v>15</v>
      </c>
      <c r="DS80" s="86">
        <f t="shared" si="764"/>
        <v>774375</v>
      </c>
      <c r="DT80" s="87">
        <f t="shared" si="765"/>
        <v>407.55960706560921</v>
      </c>
      <c r="DU80" s="88">
        <f t="shared" si="766"/>
        <v>0.12184498606934778</v>
      </c>
      <c r="DV80" s="86">
        <f t="shared" si="767"/>
        <v>452.84400785067692</v>
      </c>
      <c r="DW80" s="72">
        <f>(DW70*4)+(DW69*2)</f>
        <v>31294.157019124425</v>
      </c>
      <c r="DX80" s="89">
        <v>30</v>
      </c>
      <c r="DY80" s="86">
        <f t="shared" si="768"/>
        <v>1548735</v>
      </c>
      <c r="DZ80" s="87">
        <f t="shared" si="769"/>
        <v>815.11750180245133</v>
      </c>
      <c r="EA80" s="88">
        <f t="shared" si="770"/>
        <v>0.13875536270902242</v>
      </c>
      <c r="EB80" s="86">
        <f t="shared" si="771"/>
        <v>905.68611311383484</v>
      </c>
      <c r="EC80" s="72">
        <f>(EC70*4)+(EC69*2)</f>
        <v>35637.347485027727</v>
      </c>
      <c r="ED80" s="89">
        <v>70</v>
      </c>
      <c r="EE80" s="86">
        <f t="shared" si="772"/>
        <v>3613695</v>
      </c>
      <c r="EF80" s="87">
        <f t="shared" si="773"/>
        <v>1901.9385544340303</v>
      </c>
      <c r="EG80" s="88">
        <f t="shared" si="774"/>
        <v>0.15597481529430179</v>
      </c>
      <c r="EH80" s="86">
        <f t="shared" si="775"/>
        <v>2113.2650604822556</v>
      </c>
      <c r="EI80" s="72">
        <f>(EI70*4)+(EI69*2)</f>
        <v>40059.91972513948</v>
      </c>
      <c r="EJ80" s="90">
        <v>3.9</v>
      </c>
    </row>
    <row r="81" spans="1:140">
      <c r="A81" s="70" t="str">
        <f t="shared" si="0"/>
        <v>ZhSa</v>
      </c>
      <c r="B81" s="71">
        <v>522</v>
      </c>
      <c r="C81" s="70" t="s">
        <v>88</v>
      </c>
      <c r="D81" s="70" t="s">
        <v>82</v>
      </c>
      <c r="E81" s="70" t="s">
        <v>85</v>
      </c>
      <c r="F81" s="126"/>
      <c r="G81" s="72">
        <v>60000</v>
      </c>
      <c r="H81" s="72">
        <f t="shared" ref="H81:L81" si="827">(H71*4)+(H69*2)</f>
        <v>48422</v>
      </c>
      <c r="I81" s="72">
        <f t="shared" si="827"/>
        <v>5384</v>
      </c>
      <c r="J81" s="72">
        <f t="shared" si="827"/>
        <v>3554</v>
      </c>
      <c r="K81" s="72">
        <f t="shared" si="827"/>
        <v>2640</v>
      </c>
      <c r="L81" s="72">
        <f t="shared" si="827"/>
        <v>13338</v>
      </c>
      <c r="M81" s="184"/>
      <c r="N81" s="91">
        <f t="shared" si="709"/>
        <v>0.2223</v>
      </c>
      <c r="O81" s="124">
        <f t="shared" si="710"/>
        <v>20520</v>
      </c>
      <c r="P81" s="124">
        <f t="shared" si="711"/>
        <v>16416</v>
      </c>
      <c r="Q81" s="124">
        <f t="shared" si="712"/>
        <v>8208</v>
      </c>
      <c r="R81" s="124">
        <f t="shared" si="713"/>
        <v>6566.4000000000005</v>
      </c>
      <c r="S81" s="72">
        <f t="shared" si="4"/>
        <v>24624</v>
      </c>
      <c r="T81" s="3"/>
      <c r="U81" s="77">
        <f t="shared" si="714"/>
        <v>13338</v>
      </c>
      <c r="V81" s="78">
        <f t="shared" si="715"/>
        <v>0.2223</v>
      </c>
      <c r="W81" s="111">
        <f t="shared" si="716"/>
        <v>1.1114999999999999</v>
      </c>
      <c r="X81" s="32"/>
      <c r="Y81" s="79">
        <v>5</v>
      </c>
      <c r="Z81" s="77">
        <f t="shared" si="717"/>
        <v>66690</v>
      </c>
      <c r="AA81" s="77">
        <f t="shared" si="718"/>
        <v>53352</v>
      </c>
      <c r="AB81" s="77">
        <f t="shared" si="719"/>
        <v>74898</v>
      </c>
      <c r="AC81" s="72">
        <f>(AC71*4)+(AC69*2)</f>
        <v>63663.299999999996</v>
      </c>
      <c r="AD81" s="77">
        <f t="shared" si="720"/>
        <v>53352</v>
      </c>
      <c r="AE81" s="77">
        <f t="shared" si="721"/>
        <v>1710</v>
      </c>
      <c r="AF81" s="77">
        <f t="shared" si="722"/>
        <v>51642</v>
      </c>
      <c r="AG81" s="3"/>
      <c r="AH81" s="77">
        <f t="shared" si="14"/>
        <v>13338</v>
      </c>
      <c r="AI81" s="72">
        <f t="shared" ref="AI81:AJ81" si="828">AI69*2+AI71*4</f>
        <v>13338</v>
      </c>
      <c r="AJ81" s="77">
        <f t="shared" si="828"/>
        <v>37740</v>
      </c>
      <c r="AK81" s="77">
        <f t="shared" si="821"/>
        <v>64416</v>
      </c>
      <c r="AL81" s="77">
        <f>AL69*2+AL71*4</f>
        <v>200070</v>
      </c>
      <c r="AM81" s="80">
        <f t="shared" si="724"/>
        <v>0.32196731144099566</v>
      </c>
      <c r="AN81" s="32"/>
      <c r="AO81" s="72">
        <f t="shared" ref="AO81:AP81" si="829">AO69*2+AO71*4</f>
        <v>760</v>
      </c>
      <c r="AP81" s="116">
        <f t="shared" si="829"/>
        <v>270</v>
      </c>
      <c r="AQ81" s="82">
        <f t="shared" si="726"/>
        <v>1030</v>
      </c>
      <c r="AR81" s="3"/>
      <c r="AS81" s="72">
        <f>(AS71*4)+(AS69*2)</f>
        <v>20</v>
      </c>
      <c r="AT81" s="3"/>
      <c r="AU81" s="77">
        <v>41</v>
      </c>
      <c r="AV81" s="77">
        <v>78</v>
      </c>
      <c r="AW81" s="77">
        <v>121</v>
      </c>
      <c r="AX81" s="83">
        <f>AX69*2+AX71*4</f>
        <v>1301.2682926829268</v>
      </c>
      <c r="AY81" s="83">
        <f t="shared" si="727"/>
        <v>684</v>
      </c>
      <c r="AZ81" s="83">
        <f t="shared" si="728"/>
        <v>10.25</v>
      </c>
      <c r="BA81" s="83">
        <f t="shared" si="729"/>
        <v>19.5</v>
      </c>
      <c r="BB81" s="3"/>
      <c r="BC81" s="77" t="s">
        <v>89</v>
      </c>
      <c r="BD81" s="77">
        <f t="shared" si="730"/>
        <v>13338</v>
      </c>
      <c r="BE81" s="72">
        <f t="shared" ref="BE81:BF81" si="830">(BE71*4)+(BE69*2)</f>
        <v>56536.899999999994</v>
      </c>
      <c r="BF81" s="72" t="e" vm="2">
        <f t="shared" si="830"/>
        <v>#VALUE!</v>
      </c>
      <c r="BG81" s="77" t="e" vm="2">
        <f t="shared" si="732"/>
        <v>#VALUE!</v>
      </c>
      <c r="BH81" s="77">
        <f t="shared" si="733"/>
        <v>8208</v>
      </c>
      <c r="BI81" s="72" t="e" vm="2">
        <f t="shared" ref="BI81:BJ81" si="831">(BI71*4)+(BI69*2)</f>
        <v>#VALUE!</v>
      </c>
      <c r="BJ81" s="72">
        <f t="shared" si="831"/>
        <v>724</v>
      </c>
      <c r="BK81" s="85">
        <v>0.18</v>
      </c>
      <c r="BL81" s="72">
        <f t="shared" ref="BL81:BR81" si="832">(BL71*4)+(BL69*2)</f>
        <v>9603.36</v>
      </c>
      <c r="BM81" s="72">
        <f t="shared" si="832"/>
        <v>35793.72</v>
      </c>
      <c r="BN81" s="72">
        <f t="shared" si="832"/>
        <v>36252</v>
      </c>
      <c r="BO81" s="72">
        <f t="shared" si="832"/>
        <v>5472</v>
      </c>
      <c r="BP81" s="72">
        <f t="shared" si="832"/>
        <v>56536.899999999994</v>
      </c>
      <c r="BQ81" s="72">
        <f t="shared" si="832"/>
        <v>280</v>
      </c>
      <c r="BR81" s="72" t="e" vm="2">
        <f t="shared" si="832"/>
        <v>#VALUE!</v>
      </c>
      <c r="BS81" s="26"/>
      <c r="BT81" s="72">
        <f t="shared" ref="BT81:BW81" si="833">(BT71*4)+(BT69*2)</f>
        <v>29877.120000000003</v>
      </c>
      <c r="BU81" s="72">
        <f t="shared" si="833"/>
        <v>304639.92000000004</v>
      </c>
      <c r="BV81" s="72">
        <f t="shared" si="833"/>
        <v>38988</v>
      </c>
      <c r="BW81" s="72">
        <f t="shared" si="833"/>
        <v>19152</v>
      </c>
      <c r="BX81" s="72"/>
      <c r="BY81" s="72">
        <f>(BY71*4)+(BY69*2)</f>
        <v>56</v>
      </c>
      <c r="BZ81" s="3"/>
      <c r="CA81" s="86">
        <f t="shared" si="737"/>
        <v>669887.71200000006</v>
      </c>
      <c r="CB81" s="89">
        <v>15</v>
      </c>
      <c r="CC81" s="86">
        <f t="shared" si="738"/>
        <v>800295</v>
      </c>
      <c r="CD81" s="87">
        <f t="shared" si="739"/>
        <v>421.20171232876709</v>
      </c>
      <c r="CE81" s="88">
        <f t="shared" si="740"/>
        <v>0.18379060366076197</v>
      </c>
      <c r="CF81" s="86" t="e">
        <f t="shared" si="741"/>
        <v>#DIV/0!</v>
      </c>
      <c r="CG81" s="72">
        <f>(CG71*4)+(CG69*2)</f>
        <v>25804.200753970981</v>
      </c>
      <c r="CH81" s="89">
        <v>30</v>
      </c>
      <c r="CI81" s="86">
        <f t="shared" si="742"/>
        <v>1600575</v>
      </c>
      <c r="CJ81" s="87">
        <f t="shared" si="743"/>
        <v>842.40171232876708</v>
      </c>
      <c r="CK81" s="88">
        <f t="shared" si="744"/>
        <v>0.20961273988458817</v>
      </c>
      <c r="CL81" s="86" t="e">
        <f t="shared" si="745"/>
        <v>#DIV/0!</v>
      </c>
      <c r="CM81" s="72">
        <f>(CM71*4)+(CM69*2)</f>
        <v>29429.62867979618</v>
      </c>
      <c r="CN81" s="89">
        <v>70</v>
      </c>
      <c r="CO81" s="86">
        <f t="shared" si="746"/>
        <v>3734655</v>
      </c>
      <c r="CP81" s="87">
        <f t="shared" si="747"/>
        <v>1965.601712328767</v>
      </c>
      <c r="CQ81" s="88">
        <f t="shared" si="748"/>
        <v>0.25954146182892912</v>
      </c>
      <c r="CR81" s="86" t="e">
        <f t="shared" si="749"/>
        <v>#DIV/0!</v>
      </c>
      <c r="CS81" s="72">
        <f>(CS71*4)+(CS69*2)</f>
        <v>36439.621240781649</v>
      </c>
      <c r="CT81" s="90">
        <v>3.05</v>
      </c>
      <c r="CU81" s="3"/>
      <c r="CV81" s="86">
        <f t="shared" si="750"/>
        <v>669887.71200000006</v>
      </c>
      <c r="CW81" s="86">
        <v>15</v>
      </c>
      <c r="CX81" s="86">
        <f t="shared" si="751"/>
        <v>800295</v>
      </c>
      <c r="CY81" s="87">
        <f t="shared" si="752"/>
        <v>421.20171232876709</v>
      </c>
      <c r="CZ81" s="88">
        <f t="shared" si="753"/>
        <v>1.4673911004757521</v>
      </c>
      <c r="DA81" s="86" t="e">
        <f t="shared" si="754"/>
        <v>#DIV/0!</v>
      </c>
      <c r="DB81" s="72">
        <f>(DB71*4)+(DB69*2)</f>
        <v>206021.71050679559</v>
      </c>
      <c r="DC81" s="89">
        <v>30</v>
      </c>
      <c r="DD81" s="86">
        <f t="shared" si="755"/>
        <v>1600575</v>
      </c>
      <c r="DE81" s="87">
        <f t="shared" si="756"/>
        <v>842.40171232876708</v>
      </c>
      <c r="DF81" s="88">
        <f t="shared" si="757"/>
        <v>1.5028767011834321</v>
      </c>
      <c r="DG81" s="86" t="e">
        <f t="shared" si="758"/>
        <v>#DIV/0!</v>
      </c>
      <c r="DH81" s="72">
        <f>(DH71*4)+(DH69*2)</f>
        <v>211003.88884615383</v>
      </c>
      <c r="DI81" s="89">
        <v>70</v>
      </c>
      <c r="DJ81" s="86">
        <f t="shared" si="759"/>
        <v>3734655</v>
      </c>
      <c r="DK81" s="87">
        <f t="shared" si="760"/>
        <v>1965.601712328767</v>
      </c>
      <c r="DL81" s="88">
        <f t="shared" si="761"/>
        <v>1.5836444639249136</v>
      </c>
      <c r="DM81" s="86" t="e">
        <f t="shared" si="762"/>
        <v>#DIV/0!</v>
      </c>
      <c r="DN81" s="72">
        <f>(DN71*4)+(DN69*2)</f>
        <v>222343.6827350579</v>
      </c>
      <c r="DO81" s="90">
        <v>3.9</v>
      </c>
      <c r="DP81" s="7"/>
      <c r="DQ81" s="86">
        <f t="shared" si="763"/>
        <v>669887.71200000006</v>
      </c>
      <c r="DR81" s="86">
        <v>15</v>
      </c>
      <c r="DS81" s="86">
        <f t="shared" si="764"/>
        <v>800295</v>
      </c>
      <c r="DT81" s="87">
        <f t="shared" si="765"/>
        <v>421.20171232876709</v>
      </c>
      <c r="DU81" s="88">
        <f t="shared" si="766"/>
        <v>0.10096468736158423</v>
      </c>
      <c r="DV81" s="86">
        <f t="shared" si="767"/>
        <v>468.001902587519</v>
      </c>
      <c r="DW81" s="72">
        <f>(DW71*4)+(DW69*2)</f>
        <v>26799.343284155431</v>
      </c>
      <c r="DX81" s="89">
        <v>30</v>
      </c>
      <c r="DY81" s="86">
        <f t="shared" si="768"/>
        <v>1600575</v>
      </c>
      <c r="DZ81" s="87">
        <f t="shared" si="769"/>
        <v>842.40171232876708</v>
      </c>
      <c r="EA81" s="88">
        <f t="shared" si="770"/>
        <v>0.13611163843909435</v>
      </c>
      <c r="EB81" s="86">
        <f t="shared" si="771"/>
        <v>936.001902587519</v>
      </c>
      <c r="EC81" s="72">
        <f>(EC71*4)+(EC69*2)</f>
        <v>36128.498179117225</v>
      </c>
      <c r="ED81" s="89">
        <v>70</v>
      </c>
      <c r="EE81" s="86">
        <f t="shared" si="772"/>
        <v>3734655</v>
      </c>
      <c r="EF81" s="87">
        <f t="shared" si="773"/>
        <v>1965.601712328767</v>
      </c>
      <c r="EG81" s="88">
        <f t="shared" si="774"/>
        <v>0.15260209219609241</v>
      </c>
      <c r="EH81" s="86">
        <f t="shared" si="775"/>
        <v>2184.001902587519</v>
      </c>
      <c r="EI81" s="72">
        <f>(EI71*4)+(EI69*2)</f>
        <v>40505.606083810562</v>
      </c>
      <c r="EJ81" s="90">
        <v>3.9</v>
      </c>
    </row>
    <row r="82" spans="1:140">
      <c r="A82" s="11" t="str">
        <f t="shared" si="0"/>
        <v/>
      </c>
      <c r="B82" s="6"/>
      <c r="C82" s="6"/>
      <c r="D82" s="6"/>
      <c r="E82" s="6"/>
      <c r="F82" s="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21">
        <f t="shared" si="4"/>
        <v>0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26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7"/>
      <c r="CB82" s="3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103"/>
      <c r="CS82" s="103"/>
      <c r="CT82" s="103"/>
      <c r="CU82" s="3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</row>
    <row r="83" spans="1:140">
      <c r="A83" s="18" t="str">
        <f t="shared" si="0"/>
        <v>PgKr</v>
      </c>
      <c r="B83" s="19">
        <v>28</v>
      </c>
      <c r="C83" s="18" t="s">
        <v>90</v>
      </c>
      <c r="D83" s="18" t="s">
        <v>76</v>
      </c>
      <c r="E83" s="18" t="s">
        <v>77</v>
      </c>
      <c r="F83" s="3"/>
      <c r="G83" s="21">
        <v>10000</v>
      </c>
      <c r="H83" s="21">
        <v>7225</v>
      </c>
      <c r="I83" s="21">
        <v>1164</v>
      </c>
      <c r="J83" s="21">
        <v>931</v>
      </c>
      <c r="K83" s="21">
        <v>680</v>
      </c>
      <c r="L83" s="21">
        <f t="shared" ref="L83:L85" si="834">324*4</f>
        <v>1296</v>
      </c>
      <c r="M83" s="118"/>
      <c r="N83" s="23">
        <f t="shared" ref="N83:N91" si="835">(L83+M83)/G83</f>
        <v>0.12959999999999999</v>
      </c>
      <c r="O83" s="21">
        <f t="shared" ref="O83:O91" si="836">30*AY83</f>
        <v>1196.3076923076924</v>
      </c>
      <c r="P83" s="21">
        <f t="shared" ref="P83:P91" si="837">O83*0.8</f>
        <v>957.04615384615397</v>
      </c>
      <c r="Q83" s="21">
        <f t="shared" ref="Q83:Q91" si="838">AY83*12</f>
        <v>478.52307692307693</v>
      </c>
      <c r="R83" s="21">
        <f t="shared" ref="R83:R91" si="839">Q83*0.8</f>
        <v>382.81846153846158</v>
      </c>
      <c r="S83" s="21">
        <f t="shared" si="4"/>
        <v>1435.5692307692307</v>
      </c>
      <c r="T83" s="3"/>
      <c r="U83" s="26">
        <f t="shared" ref="U83:U86" si="840">L83+M83</f>
        <v>1296</v>
      </c>
      <c r="V83" s="27">
        <f t="shared" ref="V83:V91" si="841">U83/G83</f>
        <v>0.12959999999999999</v>
      </c>
      <c r="W83" s="108">
        <f t="shared" ref="W83:W91" si="842">Z83/G83</f>
        <v>0.38879999999999998</v>
      </c>
      <c r="X83" s="3"/>
      <c r="Y83" s="29">
        <v>3</v>
      </c>
      <c r="Z83" s="26">
        <f t="shared" ref="Z83:Z91" si="843">(L83*Y83)+M83</f>
        <v>3888</v>
      </c>
      <c r="AA83" s="26">
        <f t="shared" ref="AA83:AA91" si="844">Z83*0.8</f>
        <v>3110.4</v>
      </c>
      <c r="AB83" s="26">
        <f t="shared" ref="AB83:AB91" si="845">(L83*Y83)+BH83</f>
        <v>4366.5230769230766</v>
      </c>
      <c r="AC83" s="26">
        <f t="shared" ref="AC83:AC91" si="846">AB83*(1-0.15)</f>
        <v>3711.5446153846151</v>
      </c>
      <c r="AD83" s="26">
        <f t="shared" ref="AD83:AD91" si="847">((L83*Y83)*0.8)</f>
        <v>3110.4</v>
      </c>
      <c r="AE83" s="26">
        <f t="shared" ref="AE83:AE91" si="848">2.5*AY83</f>
        <v>99.692307692307693</v>
      </c>
      <c r="AF83" s="26">
        <f t="shared" ref="AF83:AF91" si="849">AD83-AE83</f>
        <v>3010.7076923076925</v>
      </c>
      <c r="AG83" s="3"/>
      <c r="AH83" s="26">
        <f t="shared" ref="AH83:AH101" si="850">L83</f>
        <v>1296</v>
      </c>
      <c r="AI83" s="26">
        <f t="shared" ref="AI83:AI85" si="851">324*4</f>
        <v>1296</v>
      </c>
      <c r="AJ83" s="26">
        <f t="shared" ref="AJ83:AJ85" si="852">864*4</f>
        <v>3456</v>
      </c>
      <c r="AK83" s="26">
        <f t="shared" ref="AK83:AK91" si="853">SUM(AH83:AJ83)</f>
        <v>6048</v>
      </c>
      <c r="AL83" s="26">
        <v>11664</v>
      </c>
      <c r="AM83" s="31">
        <f t="shared" ref="AM83:AM91" si="854">AK83/AL83</f>
        <v>0.51851851851851849</v>
      </c>
      <c r="AN83" s="32"/>
      <c r="AO83" s="21">
        <v>200</v>
      </c>
      <c r="AP83" s="33">
        <f t="shared" ref="AP83:AP85" si="855">14.5*4</f>
        <v>58</v>
      </c>
      <c r="AQ83" s="26">
        <f t="shared" ref="AQ83:AQ91" si="856">AO83+AP83</f>
        <v>258</v>
      </c>
      <c r="AR83" s="3"/>
      <c r="AS83" s="26">
        <v>4</v>
      </c>
      <c r="AT83" s="3"/>
      <c r="AU83" s="26">
        <v>41</v>
      </c>
      <c r="AV83" s="26">
        <v>78</v>
      </c>
      <c r="AW83" s="26">
        <v>121</v>
      </c>
      <c r="AX83" s="35">
        <f t="shared" ref="AX83:AX91" si="857">AD83/AU83</f>
        <v>75.863414634146338</v>
      </c>
      <c r="AY83" s="35">
        <f t="shared" ref="AY83:AY91" si="858">AD83/AV83</f>
        <v>39.876923076923077</v>
      </c>
      <c r="AZ83" s="35">
        <f t="shared" ref="AZ83:AZ91" si="859">L83/AX83</f>
        <v>17.083333333333336</v>
      </c>
      <c r="BA83" s="35">
        <f t="shared" ref="BA83:BA91" si="860">L83/AY83</f>
        <v>32.5</v>
      </c>
      <c r="BB83" s="3"/>
      <c r="BC83" s="37" t="s">
        <v>89</v>
      </c>
      <c r="BD83" s="26">
        <f t="shared" ref="BD83:BD91" si="861">AH83</f>
        <v>1296</v>
      </c>
      <c r="BE83" s="37">
        <f t="shared" ref="BE83:BE91" si="862">(AC83-(2*BQ83)-R83)</f>
        <v>3304.7261538461535</v>
      </c>
      <c r="BF83" s="37" t="e" vm="1">
        <f>'[1]4 - Flächen'!AJ83</f>
        <v>#VALUE!</v>
      </c>
      <c r="BG83" s="26" t="e" vm="2">
        <f t="shared" ref="BG83:BG91" si="863">BF83-BL83-((2.2*1.1)*BJ83)</f>
        <v>#VALUE!</v>
      </c>
      <c r="BH83" s="26">
        <f t="shared" ref="BH83:BH91" si="864">Q83</f>
        <v>478.52307692307693</v>
      </c>
      <c r="BI83" s="37" t="e" vm="2">
        <f t="shared" ref="BI83:BI91" si="865">BF83/Y83</f>
        <v>#VALUE!</v>
      </c>
      <c r="BJ83" s="37">
        <f t="shared" ref="BJ83:BJ91" si="866">(2*AS83)+AY83</f>
        <v>47.876923076923077</v>
      </c>
      <c r="BK83" s="39">
        <v>0.18</v>
      </c>
      <c r="BL83" s="26">
        <f t="shared" ref="BL83:BL91" si="867">AD83*BK83</f>
        <v>559.87199999999996</v>
      </c>
      <c r="BM83" s="26">
        <f t="shared" ref="BM83:BM91" si="868">(66.45-(2*2))*AY83</f>
        <v>2490.3138461538465</v>
      </c>
      <c r="BN83" s="26">
        <f t="shared" ref="BN83:BN91" si="869">(43.3-(2*2))*AY83</f>
        <v>1567.1630769230769</v>
      </c>
      <c r="BO83" s="26">
        <f t="shared" ref="BO83:BO91" si="870">4*AY83</f>
        <v>159.50769230769231</v>
      </c>
      <c r="BP83" s="37" cm="1">
        <f t="array" ref="BP83">BE83 - _xlfn.IFS(
    _xlfn.XOR(Y83 &lt; 2.5, Y83 = 2.5), 0.5 * AH83,
    _xlfn.XOR(Y83 &lt; 2.5, Y83 = 2.5) = FALSE, 0
)</f>
        <v>3304.7261538461535</v>
      </c>
      <c r="BQ83" s="26">
        <f t="shared" ref="BQ83:BQ91" si="871">((Y83)*AS83)</f>
        <v>12</v>
      </c>
      <c r="BR83" s="37" t="e" vm="1">
        <f>'[1]4 - Flächen'!AI83</f>
        <v>#VALUE!</v>
      </c>
      <c r="BS83" s="26"/>
      <c r="BT83" s="26">
        <f t="shared" ref="BT83:BT91" si="872">0.56*AD83</f>
        <v>1741.8240000000003</v>
      </c>
      <c r="BU83" s="26">
        <f t="shared" ref="BU83:BU91" si="873">5.71*AD83</f>
        <v>17760.384000000002</v>
      </c>
      <c r="BV83" s="37">
        <f t="shared" ref="BV83:BV91" si="874">57*AY83</f>
        <v>2272.9846153846156</v>
      </c>
      <c r="BW83" s="37">
        <f t="shared" ref="BW83:BW91" si="875">28*AY83</f>
        <v>1116.5538461538463</v>
      </c>
      <c r="BX83" s="26"/>
      <c r="BY83" s="26">
        <f t="shared" ref="BY83:BY88" si="876">IF(Y83&gt;3,AS83,0)</f>
        <v>0</v>
      </c>
      <c r="BZ83" s="3"/>
      <c r="CA83" s="127">
        <f t="shared" ref="CA83:CA91" si="877">(34.4*365*$AE83)/1000</f>
        <v>1251.7366153846156</v>
      </c>
      <c r="CB83" s="43">
        <v>15</v>
      </c>
      <c r="CC83" s="40">
        <f t="shared" ref="CC83:CC91" si="878">$AD83*CB83+($CB83)</f>
        <v>46671</v>
      </c>
      <c r="CD83" s="41">
        <f t="shared" ref="CD83:CD91" si="879">((CC83-$CB83)/1900)+($CB83/8760)</f>
        <v>24.557501802451334</v>
      </c>
      <c r="CE83" s="42">
        <f t="shared" ref="CE83:CE91" si="880">((380*$CG83)/1000)/$AD83</f>
        <v>0.19348390905199228</v>
      </c>
      <c r="CF83" s="40" t="e">
        <f t="shared" ref="CF83:CF91" si="881">$CD83/$CU83</f>
        <v>#DIV/0!</v>
      </c>
      <c r="CG83" s="40">
        <f t="shared" ref="CG83:CG85" si="882">0.4267001684*AC83</f>
        <v>1583.7167124087287</v>
      </c>
      <c r="CH83" s="43">
        <v>30</v>
      </c>
      <c r="CI83" s="40">
        <f t="shared" ref="CI83:CI91" si="883">$AD83*CH83+($CB83)</f>
        <v>93327</v>
      </c>
      <c r="CJ83" s="41">
        <f t="shared" ref="CJ83:CJ91" si="884">((CI83-$CB83)/1900)+($CB83/8760)</f>
        <v>49.113291276135548</v>
      </c>
      <c r="CK83" s="42">
        <f t="shared" ref="CK83:CK91" si="885">((380*$CM83)/1000)/$AD83</f>
        <v>0.20808896528973847</v>
      </c>
      <c r="CL83" s="40" t="e">
        <f t="shared" ref="CL83:CL91" si="886">$CJ83/$CU83</f>
        <v>#DIV/0!</v>
      </c>
      <c r="CM83" s="119">
        <f t="shared" ref="CM83:CM85" si="887">0.4589094616*AC83</f>
        <v>1703.2629411505329</v>
      </c>
      <c r="CN83" s="43">
        <v>70</v>
      </c>
      <c r="CO83" s="40">
        <f t="shared" ref="CO83:CO91" si="888">$AD83*CN83+($CB83)</f>
        <v>217743</v>
      </c>
      <c r="CP83" s="41">
        <f t="shared" ref="CP83:CP91" si="889">((CO83-$CB83)/1900)+($CB83/8760)</f>
        <v>114.59539653929345</v>
      </c>
      <c r="CQ83" s="42">
        <f t="shared" ref="CQ83:CQ91" si="890">((380*$CS83)/1000)/$AD83</f>
        <v>0.27753133100236538</v>
      </c>
      <c r="CR83" s="40" t="e">
        <f t="shared" ref="CR83:CR91" si="891">$CP83/$CU83</f>
        <v>#DIV/0!</v>
      </c>
      <c r="CS83" s="40">
        <f t="shared" ref="CS83:CS85" si="892">0.612054337*AC83</f>
        <v>2271.6669788151507</v>
      </c>
      <c r="CT83" s="44">
        <v>3.05</v>
      </c>
      <c r="CU83" s="3"/>
      <c r="CV83" s="40">
        <f t="shared" ref="CV83:CV91" si="893">(34.4*365*$AD83)/1000</f>
        <v>39054.182399999998</v>
      </c>
      <c r="CW83" s="40">
        <v>15</v>
      </c>
      <c r="CX83" s="40">
        <f t="shared" ref="CX83:CX91" si="894">$AD83*CW83+($CW83)</f>
        <v>46671</v>
      </c>
      <c r="CY83" s="41">
        <f t="shared" ref="CY83:CY91" si="895">((CX83-$CW83)/1900)+($CW83/8760)</f>
        <v>24.557501802451334</v>
      </c>
      <c r="CZ83" s="42">
        <f t="shared" ref="CZ83:CZ91" si="896">((380*$DB83)/1000)/$AD83</f>
        <v>1.8044258000866844</v>
      </c>
      <c r="DA83" s="40" t="e">
        <f t="shared" ref="DA83:DA91" si="897">$CY83/$DP83</f>
        <v>#DIV/0!</v>
      </c>
      <c r="DB83" s="21">
        <f>3.9793944444*AC83</f>
        <v>14769.700022604273</v>
      </c>
      <c r="DC83" s="43">
        <v>30</v>
      </c>
      <c r="DD83" s="40">
        <f t="shared" ref="DD83:DD91" si="898">$AD83*DC83+($CW83)</f>
        <v>93327</v>
      </c>
      <c r="DE83" s="41">
        <f t="shared" ref="DE83:DE91" si="899">((DD83-$CW83)/1900)+($CW83/8760)</f>
        <v>49.113291276135548</v>
      </c>
      <c r="DF83" s="42">
        <f t="shared" ref="DF83:DF91" si="900">((380*$DH83)/1000)/$AD83</f>
        <v>1.8308299418227498</v>
      </c>
      <c r="DG83" s="40" t="e">
        <f t="shared" ref="DG83:DG91" si="901">$DE83/$DP83</f>
        <v>#DIV/0!</v>
      </c>
      <c r="DH83" s="40">
        <f>4.037624877*AC83</f>
        <v>14985.824871172319</v>
      </c>
      <c r="DI83" s="43">
        <v>70</v>
      </c>
      <c r="DJ83" s="40">
        <f t="shared" ref="DJ83:DJ91" si="902">$AD83*DI83+($CW83)</f>
        <v>217743</v>
      </c>
      <c r="DK83" s="41">
        <f t="shared" ref="DK83:DK91" si="903">((DJ83-$CW83)/1900)+($CW83/8760)</f>
        <v>114.59539653929345</v>
      </c>
      <c r="DL83" s="42">
        <f t="shared" ref="DL83:DL91" si="904">((380*$DN83)/1000)/$AD83</f>
        <v>1.926221641240863</v>
      </c>
      <c r="DM83" s="40" t="e">
        <f t="shared" ref="DM83:DM91" si="905">$DK83/$DP83</f>
        <v>#DIV/0!</v>
      </c>
      <c r="DN83" s="40">
        <f>4.2479971731*AC83</f>
        <v>15766.631033988371</v>
      </c>
      <c r="DO83" s="44">
        <v>3.9</v>
      </c>
      <c r="DP83" s="7"/>
      <c r="DQ83" s="40">
        <f t="shared" ref="DQ83:DQ91" si="906">(34.4*365*$AD83)/1000</f>
        <v>39054.182399999998</v>
      </c>
      <c r="DR83" s="40">
        <v>15</v>
      </c>
      <c r="DS83" s="40">
        <f t="shared" ref="DS83:DS91" si="907">$AD83*DR83+($DR83)</f>
        <v>46671</v>
      </c>
      <c r="DT83" s="41">
        <f t="shared" ref="DT83:DT91" si="908">((DS83-$DR83)/1900)+($DR83/8760)</f>
        <v>24.557501802451334</v>
      </c>
      <c r="DU83" s="42">
        <f t="shared" ref="DU83:DU91" si="909">((201*$DW83)/1000)/$AD83</f>
        <v>0.11098514662950834</v>
      </c>
      <c r="DV83" s="40">
        <f t="shared" ref="DV83:DV91" si="910">$DT83/0.9</f>
        <v>27.286113113834816</v>
      </c>
      <c r="DW83" s="40">
        <f>0.4627328807*AC83</f>
        <v>1717.4537317234965</v>
      </c>
      <c r="DX83" s="43">
        <v>30</v>
      </c>
      <c r="DY83" s="40">
        <f t="shared" ref="DY83:DY91" si="911">$AD83*DX83+($DR83)</f>
        <v>93327</v>
      </c>
      <c r="DZ83" s="41">
        <f t="shared" ref="DZ83:DZ91" si="912">((DY83-$DR83)/1900)+($DR83/8760)</f>
        <v>49.113291276135548</v>
      </c>
      <c r="EA83" s="42">
        <f t="shared" ref="EA83:EA91" si="913">((201*$EC83)/1000)/$AD83</f>
        <v>0.11483780024268894</v>
      </c>
      <c r="EB83" s="40">
        <f t="shared" ref="EB83:EB91" si="914">$DZ83/0.9</f>
        <v>54.570323640150605</v>
      </c>
      <c r="EC83" s="40">
        <f>0.4787958365*AC83</f>
        <v>1777.0721088301477</v>
      </c>
      <c r="ED83" s="43">
        <v>70</v>
      </c>
      <c r="EE83" s="40">
        <f t="shared" ref="EE83:EE91" si="915">$AD83*ED83+($DR83)</f>
        <v>217743</v>
      </c>
      <c r="EF83" s="41">
        <f t="shared" ref="EF83:EF91" si="916">((EE83-$DR83)/1900)+($DR83/8760)</f>
        <v>114.59539653929345</v>
      </c>
      <c r="EG83" s="42">
        <f t="shared" ref="EG83:EG91" si="917">((201*$EI83)/1000)/$AD83</f>
        <v>0.17709334464868179</v>
      </c>
      <c r="EH83" s="40">
        <f t="shared" ref="EH83:EH91" si="918">$EF83/0.9</f>
        <v>127.32821837699271</v>
      </c>
      <c r="EI83" s="40">
        <f>0.7383592851*AC83</f>
        <v>2740.4534288321388</v>
      </c>
      <c r="EJ83" s="44">
        <v>3.9</v>
      </c>
    </row>
    <row r="84" spans="1:140">
      <c r="A84" s="18" t="str">
        <f t="shared" si="0"/>
        <v>PgKu</v>
      </c>
      <c r="B84" s="19">
        <v>29</v>
      </c>
      <c r="C84" s="18" t="s">
        <v>90</v>
      </c>
      <c r="D84" s="18" t="s">
        <v>76</v>
      </c>
      <c r="E84" s="18" t="s">
        <v>79</v>
      </c>
      <c r="F84" s="3"/>
      <c r="G84" s="21">
        <v>10000</v>
      </c>
      <c r="H84" s="45">
        <v>8500</v>
      </c>
      <c r="I84" s="45">
        <v>600</v>
      </c>
      <c r="J84" s="45">
        <v>560</v>
      </c>
      <c r="K84" s="45">
        <v>340</v>
      </c>
      <c r="L84" s="21">
        <f t="shared" si="834"/>
        <v>1296</v>
      </c>
      <c r="M84" s="177"/>
      <c r="N84" s="46">
        <f t="shared" si="835"/>
        <v>0.12959999999999999</v>
      </c>
      <c r="O84" s="21">
        <f t="shared" si="836"/>
        <v>1196.3076923076924</v>
      </c>
      <c r="P84" s="21">
        <f t="shared" si="837"/>
        <v>957.04615384615397</v>
      </c>
      <c r="Q84" s="21">
        <f t="shared" si="838"/>
        <v>478.52307692307693</v>
      </c>
      <c r="R84" s="21">
        <f t="shared" si="839"/>
        <v>382.81846153846158</v>
      </c>
      <c r="S84" s="21">
        <f t="shared" si="4"/>
        <v>1435.5692307692307</v>
      </c>
      <c r="T84" s="3"/>
      <c r="U84" s="26">
        <f t="shared" si="840"/>
        <v>1296</v>
      </c>
      <c r="V84" s="27">
        <f t="shared" si="841"/>
        <v>0.12959999999999999</v>
      </c>
      <c r="W84" s="108">
        <f t="shared" si="842"/>
        <v>0.38879999999999998</v>
      </c>
      <c r="X84" s="3"/>
      <c r="Y84" s="29">
        <v>3</v>
      </c>
      <c r="Z84" s="26">
        <f t="shared" si="843"/>
        <v>3888</v>
      </c>
      <c r="AA84" s="26">
        <f t="shared" si="844"/>
        <v>3110.4</v>
      </c>
      <c r="AB84" s="26">
        <f t="shared" si="845"/>
        <v>4366.5230769230766</v>
      </c>
      <c r="AC84" s="26">
        <f t="shared" si="846"/>
        <v>3711.5446153846151</v>
      </c>
      <c r="AD84" s="26">
        <f t="shared" si="847"/>
        <v>3110.4</v>
      </c>
      <c r="AE84" s="26">
        <f t="shared" si="848"/>
        <v>99.692307692307693</v>
      </c>
      <c r="AF84" s="26">
        <f t="shared" si="849"/>
        <v>3010.7076923076925</v>
      </c>
      <c r="AG84" s="3"/>
      <c r="AH84" s="26">
        <f t="shared" si="850"/>
        <v>1296</v>
      </c>
      <c r="AI84" s="26">
        <f t="shared" si="851"/>
        <v>1296</v>
      </c>
      <c r="AJ84" s="26">
        <f t="shared" si="852"/>
        <v>3456</v>
      </c>
      <c r="AK84" s="26">
        <f t="shared" si="853"/>
        <v>6048</v>
      </c>
      <c r="AL84" s="26">
        <v>11664</v>
      </c>
      <c r="AM84" s="31">
        <f t="shared" si="854"/>
        <v>0.51851851851851849</v>
      </c>
      <c r="AN84" s="32"/>
      <c r="AO84" s="21">
        <v>100</v>
      </c>
      <c r="AP84" s="33">
        <f t="shared" si="855"/>
        <v>58</v>
      </c>
      <c r="AQ84" s="26">
        <f t="shared" si="856"/>
        <v>158</v>
      </c>
      <c r="AR84" s="3"/>
      <c r="AS84" s="26">
        <v>4</v>
      </c>
      <c r="AT84" s="3"/>
      <c r="AU84" s="26">
        <v>41</v>
      </c>
      <c r="AV84" s="26">
        <v>78</v>
      </c>
      <c r="AW84" s="26">
        <v>121</v>
      </c>
      <c r="AX84" s="35">
        <f t="shared" si="857"/>
        <v>75.863414634146338</v>
      </c>
      <c r="AY84" s="35">
        <f t="shared" si="858"/>
        <v>39.876923076923077</v>
      </c>
      <c r="AZ84" s="35">
        <f t="shared" si="859"/>
        <v>17.083333333333336</v>
      </c>
      <c r="BA84" s="35">
        <f t="shared" si="860"/>
        <v>32.5</v>
      </c>
      <c r="BB84" s="3"/>
      <c r="BC84" s="37" t="s">
        <v>89</v>
      </c>
      <c r="BD84" s="26">
        <f t="shared" si="861"/>
        <v>1296</v>
      </c>
      <c r="BE84" s="37">
        <f t="shared" si="862"/>
        <v>3304.7261538461535</v>
      </c>
      <c r="BF84" s="37" t="e" vm="1">
        <f>'[1]4 - Flächen'!AJ84</f>
        <v>#VALUE!</v>
      </c>
      <c r="BG84" s="26" t="e" vm="2">
        <f t="shared" si="863"/>
        <v>#VALUE!</v>
      </c>
      <c r="BH84" s="26">
        <f t="shared" si="864"/>
        <v>478.52307692307693</v>
      </c>
      <c r="BI84" s="37" t="e" vm="2">
        <f t="shared" si="865"/>
        <v>#VALUE!</v>
      </c>
      <c r="BJ84" s="37">
        <f t="shared" si="866"/>
        <v>47.876923076923077</v>
      </c>
      <c r="BK84" s="39">
        <v>0.18</v>
      </c>
      <c r="BL84" s="26">
        <f t="shared" si="867"/>
        <v>559.87199999999996</v>
      </c>
      <c r="BM84" s="26">
        <f t="shared" si="868"/>
        <v>2490.3138461538465</v>
      </c>
      <c r="BN84" s="26">
        <f t="shared" si="869"/>
        <v>1567.1630769230769</v>
      </c>
      <c r="BO84" s="26">
        <f t="shared" si="870"/>
        <v>159.50769230769231</v>
      </c>
      <c r="BP84" s="37" cm="1">
        <f t="array" ref="BP84">BE84 - _xlfn.IFS(
    _xlfn.XOR(Y84 &lt; 2.5, Y84 = 2.5), 0.5 * AH84,
    _xlfn.XOR(Y84 &lt; 2.5, Y84 = 2.5) = FALSE, 0
)</f>
        <v>3304.7261538461535</v>
      </c>
      <c r="BQ84" s="26">
        <f t="shared" si="871"/>
        <v>12</v>
      </c>
      <c r="BR84" s="37" t="e" vm="1">
        <f>'[1]4 - Flächen'!AI84</f>
        <v>#VALUE!</v>
      </c>
      <c r="BS84" s="26"/>
      <c r="BT84" s="26">
        <f t="shared" si="872"/>
        <v>1741.8240000000003</v>
      </c>
      <c r="BU84" s="26">
        <f t="shared" si="873"/>
        <v>17760.384000000002</v>
      </c>
      <c r="BV84" s="37">
        <f t="shared" si="874"/>
        <v>2272.9846153846156</v>
      </c>
      <c r="BW84" s="37">
        <f t="shared" si="875"/>
        <v>1116.5538461538463</v>
      </c>
      <c r="BX84" s="26"/>
      <c r="BY84" s="26">
        <f t="shared" si="876"/>
        <v>0</v>
      </c>
      <c r="BZ84" s="3"/>
      <c r="CA84" s="127">
        <f t="shared" si="877"/>
        <v>1251.7366153846156</v>
      </c>
      <c r="CB84" s="43">
        <v>15</v>
      </c>
      <c r="CC84" s="40">
        <f t="shared" si="878"/>
        <v>46671</v>
      </c>
      <c r="CD84" s="41">
        <f t="shared" si="879"/>
        <v>24.557501802451334</v>
      </c>
      <c r="CE84" s="42">
        <f t="shared" si="880"/>
        <v>0.19348390905199228</v>
      </c>
      <c r="CF84" s="40" t="e">
        <f t="shared" si="881"/>
        <v>#DIV/0!</v>
      </c>
      <c r="CG84" s="40">
        <f t="shared" si="882"/>
        <v>1583.7167124087287</v>
      </c>
      <c r="CH84" s="43">
        <v>30</v>
      </c>
      <c r="CI84" s="40">
        <f t="shared" si="883"/>
        <v>93327</v>
      </c>
      <c r="CJ84" s="41">
        <f t="shared" si="884"/>
        <v>49.113291276135548</v>
      </c>
      <c r="CK84" s="42">
        <f t="shared" si="885"/>
        <v>0.20808896528973847</v>
      </c>
      <c r="CL84" s="40" t="e">
        <f t="shared" si="886"/>
        <v>#DIV/0!</v>
      </c>
      <c r="CM84" s="119">
        <f t="shared" si="887"/>
        <v>1703.2629411505329</v>
      </c>
      <c r="CN84" s="43">
        <v>70</v>
      </c>
      <c r="CO84" s="40">
        <f t="shared" si="888"/>
        <v>217743</v>
      </c>
      <c r="CP84" s="41">
        <f t="shared" si="889"/>
        <v>114.59539653929345</v>
      </c>
      <c r="CQ84" s="42">
        <f t="shared" si="890"/>
        <v>0.27753133100236538</v>
      </c>
      <c r="CR84" s="40" t="e">
        <f t="shared" si="891"/>
        <v>#DIV/0!</v>
      </c>
      <c r="CS84" s="40">
        <f t="shared" si="892"/>
        <v>2271.6669788151507</v>
      </c>
      <c r="CT84" s="44">
        <v>3.05</v>
      </c>
      <c r="CU84" s="3"/>
      <c r="CV84" s="40">
        <f t="shared" si="893"/>
        <v>39054.182399999998</v>
      </c>
      <c r="CW84" s="40">
        <v>15</v>
      </c>
      <c r="CX84" s="40">
        <f t="shared" si="894"/>
        <v>46671</v>
      </c>
      <c r="CY84" s="41">
        <f t="shared" si="895"/>
        <v>24.557501802451334</v>
      </c>
      <c r="CZ84" s="42">
        <f t="shared" si="896"/>
        <v>1.7824945771024017</v>
      </c>
      <c r="DA84" s="40" t="e">
        <f t="shared" si="897"/>
        <v>#DIV/0!</v>
      </c>
      <c r="DB84" s="21">
        <f>3.9310283731*AC84</f>
        <v>14590.187191103449</v>
      </c>
      <c r="DC84" s="43">
        <v>30</v>
      </c>
      <c r="DD84" s="40">
        <f t="shared" si="898"/>
        <v>93327</v>
      </c>
      <c r="DE84" s="41">
        <f t="shared" si="899"/>
        <v>49.113291276135548</v>
      </c>
      <c r="DF84" s="42">
        <f t="shared" si="900"/>
        <v>1.8088987188838117</v>
      </c>
      <c r="DG84" s="40" t="e">
        <f t="shared" si="901"/>
        <v>#DIV/0!</v>
      </c>
      <c r="DH84" s="40">
        <f>3.9892588058*AC84</f>
        <v>14806.312040042651</v>
      </c>
      <c r="DI84" s="43">
        <v>70</v>
      </c>
      <c r="DJ84" s="40">
        <f t="shared" si="902"/>
        <v>217743</v>
      </c>
      <c r="DK84" s="41">
        <f t="shared" si="903"/>
        <v>114.59539653929345</v>
      </c>
      <c r="DL84" s="42">
        <f t="shared" si="904"/>
        <v>1.9042904182565801</v>
      </c>
      <c r="DM84" s="40" t="e">
        <f t="shared" si="905"/>
        <v>#DIV/0!</v>
      </c>
      <c r="DN84" s="40">
        <f>4.1996311018*AC84</f>
        <v>15587.118202487547</v>
      </c>
      <c r="DO84" s="44">
        <v>3.9</v>
      </c>
      <c r="DP84" s="7"/>
      <c r="DQ84" s="40">
        <f t="shared" si="906"/>
        <v>39054.182399999998</v>
      </c>
      <c r="DR84" s="40">
        <v>15</v>
      </c>
      <c r="DS84" s="40">
        <f t="shared" si="907"/>
        <v>46671</v>
      </c>
      <c r="DT84" s="41">
        <f t="shared" si="908"/>
        <v>24.557501802451334</v>
      </c>
      <c r="DU84" s="42">
        <f t="shared" si="909"/>
        <v>0.11034980898578566</v>
      </c>
      <c r="DV84" s="40">
        <f t="shared" si="910"/>
        <v>27.286113113834816</v>
      </c>
      <c r="DW84" s="40">
        <f>0.4600839531*AC84</f>
        <v>1707.6221187531728</v>
      </c>
      <c r="DX84" s="43">
        <v>30</v>
      </c>
      <c r="DY84" s="40">
        <f t="shared" si="911"/>
        <v>93327</v>
      </c>
      <c r="DZ84" s="41">
        <f t="shared" si="912"/>
        <v>49.113291276135548</v>
      </c>
      <c r="EA84" s="42">
        <f t="shared" si="913"/>
        <v>0.11420246259896621</v>
      </c>
      <c r="EB84" s="40">
        <f t="shared" si="914"/>
        <v>54.570323640150605</v>
      </c>
      <c r="EC84" s="40">
        <f>0.4761469089*AC84</f>
        <v>1767.2404958598238</v>
      </c>
      <c r="ED84" s="43">
        <v>70</v>
      </c>
      <c r="EE84" s="40">
        <f t="shared" si="915"/>
        <v>217743</v>
      </c>
      <c r="EF84" s="41">
        <f t="shared" si="916"/>
        <v>114.59539653929345</v>
      </c>
      <c r="EG84" s="42">
        <f t="shared" si="917"/>
        <v>0.17645800702894385</v>
      </c>
      <c r="EH84" s="40">
        <f t="shared" si="918"/>
        <v>127.32821837699271</v>
      </c>
      <c r="EI84" s="40">
        <f>0.7357103576*AC84</f>
        <v>2730.6218162329696</v>
      </c>
      <c r="EJ84" s="44">
        <v>3.9</v>
      </c>
    </row>
    <row r="85" spans="1:140">
      <c r="A85" s="18" t="str">
        <f t="shared" si="0"/>
        <v>PgWe</v>
      </c>
      <c r="B85" s="19">
        <v>30</v>
      </c>
      <c r="C85" s="18" t="s">
        <v>90</v>
      </c>
      <c r="D85" s="18" t="s">
        <v>76</v>
      </c>
      <c r="E85" s="18" t="s">
        <v>80</v>
      </c>
      <c r="F85" s="3"/>
      <c r="G85" s="21">
        <v>10000</v>
      </c>
      <c r="H85" s="45">
        <v>8493</v>
      </c>
      <c r="I85" s="45">
        <v>764</v>
      </c>
      <c r="J85" s="45">
        <v>423</v>
      </c>
      <c r="K85" s="45">
        <v>320</v>
      </c>
      <c r="L85" s="21">
        <f t="shared" si="834"/>
        <v>1296</v>
      </c>
      <c r="M85" s="179"/>
      <c r="N85" s="46">
        <f t="shared" si="835"/>
        <v>0.12959999999999999</v>
      </c>
      <c r="O85" s="21">
        <f t="shared" si="836"/>
        <v>1196.3076923076924</v>
      </c>
      <c r="P85" s="21">
        <f t="shared" si="837"/>
        <v>957.04615384615397</v>
      </c>
      <c r="Q85" s="21">
        <f t="shared" si="838"/>
        <v>478.52307692307693</v>
      </c>
      <c r="R85" s="21">
        <f t="shared" si="839"/>
        <v>382.81846153846158</v>
      </c>
      <c r="S85" s="21">
        <f t="shared" si="4"/>
        <v>1435.5692307692307</v>
      </c>
      <c r="T85" s="3"/>
      <c r="U85" s="26">
        <f t="shared" si="840"/>
        <v>1296</v>
      </c>
      <c r="V85" s="27">
        <f t="shared" si="841"/>
        <v>0.12959999999999999</v>
      </c>
      <c r="W85" s="108">
        <f t="shared" si="842"/>
        <v>0.38879999999999998</v>
      </c>
      <c r="X85" s="3"/>
      <c r="Y85" s="29">
        <v>3</v>
      </c>
      <c r="Z85" s="26">
        <f t="shared" si="843"/>
        <v>3888</v>
      </c>
      <c r="AA85" s="26">
        <f t="shared" si="844"/>
        <v>3110.4</v>
      </c>
      <c r="AB85" s="26">
        <f t="shared" si="845"/>
        <v>4366.5230769230766</v>
      </c>
      <c r="AC85" s="26">
        <f t="shared" si="846"/>
        <v>3711.5446153846151</v>
      </c>
      <c r="AD85" s="26">
        <f t="shared" si="847"/>
        <v>3110.4</v>
      </c>
      <c r="AE85" s="26">
        <f t="shared" si="848"/>
        <v>99.692307692307693</v>
      </c>
      <c r="AF85" s="26">
        <f t="shared" si="849"/>
        <v>3010.7076923076925</v>
      </c>
      <c r="AG85" s="3"/>
      <c r="AH85" s="26">
        <f t="shared" si="850"/>
        <v>1296</v>
      </c>
      <c r="AI85" s="26">
        <f t="shared" si="851"/>
        <v>1296</v>
      </c>
      <c r="AJ85" s="26">
        <f t="shared" si="852"/>
        <v>3456</v>
      </c>
      <c r="AK85" s="26">
        <f t="shared" si="853"/>
        <v>6048</v>
      </c>
      <c r="AL85" s="26">
        <v>11664</v>
      </c>
      <c r="AM85" s="31">
        <f t="shared" si="854"/>
        <v>0.51851851851851849</v>
      </c>
      <c r="AN85" s="32"/>
      <c r="AO85" s="21">
        <v>90</v>
      </c>
      <c r="AP85" s="33">
        <f t="shared" si="855"/>
        <v>58</v>
      </c>
      <c r="AQ85" s="26">
        <f t="shared" si="856"/>
        <v>148</v>
      </c>
      <c r="AR85" s="3"/>
      <c r="AS85" s="26">
        <v>4</v>
      </c>
      <c r="AT85" s="3"/>
      <c r="AU85" s="26">
        <v>41</v>
      </c>
      <c r="AV85" s="26">
        <v>78</v>
      </c>
      <c r="AW85" s="26">
        <v>121</v>
      </c>
      <c r="AX85" s="35">
        <f t="shared" si="857"/>
        <v>75.863414634146338</v>
      </c>
      <c r="AY85" s="35">
        <f t="shared" si="858"/>
        <v>39.876923076923077</v>
      </c>
      <c r="AZ85" s="35">
        <f t="shared" si="859"/>
        <v>17.083333333333336</v>
      </c>
      <c r="BA85" s="35">
        <f t="shared" si="860"/>
        <v>32.5</v>
      </c>
      <c r="BB85" s="3"/>
      <c r="BC85" s="37" t="s">
        <v>89</v>
      </c>
      <c r="BD85" s="26">
        <f t="shared" si="861"/>
        <v>1296</v>
      </c>
      <c r="BE85" s="37">
        <f t="shared" si="862"/>
        <v>3304.7261538461535</v>
      </c>
      <c r="BF85" s="37" t="e" vm="1">
        <f>'[1]4 - Flächen'!AJ85</f>
        <v>#VALUE!</v>
      </c>
      <c r="BG85" s="26" t="e" vm="2">
        <f t="shared" si="863"/>
        <v>#VALUE!</v>
      </c>
      <c r="BH85" s="26">
        <f t="shared" si="864"/>
        <v>478.52307692307693</v>
      </c>
      <c r="BI85" s="37" t="e" vm="2">
        <f t="shared" si="865"/>
        <v>#VALUE!</v>
      </c>
      <c r="BJ85" s="37">
        <f t="shared" si="866"/>
        <v>47.876923076923077</v>
      </c>
      <c r="BK85" s="39">
        <v>0.18</v>
      </c>
      <c r="BL85" s="26">
        <f t="shared" si="867"/>
        <v>559.87199999999996</v>
      </c>
      <c r="BM85" s="26">
        <f t="shared" si="868"/>
        <v>2490.3138461538465</v>
      </c>
      <c r="BN85" s="26">
        <f t="shared" si="869"/>
        <v>1567.1630769230769</v>
      </c>
      <c r="BO85" s="26">
        <f t="shared" si="870"/>
        <v>159.50769230769231</v>
      </c>
      <c r="BP85" s="37" cm="1">
        <f t="array" ref="BP85">BE85 - _xlfn.IFS(
    _xlfn.XOR(Y85 &lt; 2.5, Y85 = 2.5), 0.5 * AH85,
    _xlfn.XOR(Y85 &lt; 2.5, Y85 = 2.5) = FALSE, 0
)</f>
        <v>3304.7261538461535</v>
      </c>
      <c r="BQ85" s="26">
        <f t="shared" si="871"/>
        <v>12</v>
      </c>
      <c r="BR85" s="37" t="e" vm="1">
        <f>'[1]4 - Flächen'!AI85</f>
        <v>#VALUE!</v>
      </c>
      <c r="BS85" s="26"/>
      <c r="BT85" s="26">
        <f t="shared" si="872"/>
        <v>1741.8240000000003</v>
      </c>
      <c r="BU85" s="26">
        <f t="shared" si="873"/>
        <v>17760.384000000002</v>
      </c>
      <c r="BV85" s="37">
        <f t="shared" si="874"/>
        <v>2272.9846153846156</v>
      </c>
      <c r="BW85" s="37">
        <f t="shared" si="875"/>
        <v>1116.5538461538463</v>
      </c>
      <c r="BX85" s="26"/>
      <c r="BY85" s="26">
        <f t="shared" si="876"/>
        <v>0</v>
      </c>
      <c r="BZ85" s="3"/>
      <c r="CA85" s="127">
        <f t="shared" si="877"/>
        <v>1251.7366153846156</v>
      </c>
      <c r="CB85" s="43">
        <v>15</v>
      </c>
      <c r="CC85" s="40">
        <f t="shared" si="878"/>
        <v>46671</v>
      </c>
      <c r="CD85" s="41">
        <f t="shared" si="879"/>
        <v>24.557501802451334</v>
      </c>
      <c r="CE85" s="42">
        <f t="shared" si="880"/>
        <v>0.19348390905199228</v>
      </c>
      <c r="CF85" s="40" t="e">
        <f t="shared" si="881"/>
        <v>#DIV/0!</v>
      </c>
      <c r="CG85" s="40">
        <f t="shared" si="882"/>
        <v>1583.7167124087287</v>
      </c>
      <c r="CH85" s="43">
        <v>30</v>
      </c>
      <c r="CI85" s="40">
        <f t="shared" si="883"/>
        <v>93327</v>
      </c>
      <c r="CJ85" s="41">
        <f t="shared" si="884"/>
        <v>49.113291276135548</v>
      </c>
      <c r="CK85" s="42">
        <f t="shared" si="885"/>
        <v>0.20808896528973847</v>
      </c>
      <c r="CL85" s="40" t="e">
        <f t="shared" si="886"/>
        <v>#DIV/0!</v>
      </c>
      <c r="CM85" s="119">
        <f t="shared" si="887"/>
        <v>1703.2629411505329</v>
      </c>
      <c r="CN85" s="43">
        <v>70</v>
      </c>
      <c r="CO85" s="40">
        <f t="shared" si="888"/>
        <v>217743</v>
      </c>
      <c r="CP85" s="41">
        <f t="shared" si="889"/>
        <v>114.59539653929345</v>
      </c>
      <c r="CQ85" s="42">
        <f t="shared" si="890"/>
        <v>0.27753133100236538</v>
      </c>
      <c r="CR85" s="40" t="e">
        <f t="shared" si="891"/>
        <v>#DIV/0!</v>
      </c>
      <c r="CS85" s="40">
        <f t="shared" si="892"/>
        <v>2271.6669788151507</v>
      </c>
      <c r="CT85" s="44">
        <v>3.05</v>
      </c>
      <c r="CU85" s="3"/>
      <c r="CV85" s="40">
        <f t="shared" si="893"/>
        <v>39054.182399999998</v>
      </c>
      <c r="CW85" s="40">
        <v>15</v>
      </c>
      <c r="CX85" s="40">
        <f t="shared" si="894"/>
        <v>46671</v>
      </c>
      <c r="CY85" s="41">
        <f t="shared" si="895"/>
        <v>24.557501802451334</v>
      </c>
      <c r="CZ85" s="42">
        <f t="shared" si="896"/>
        <v>1.7802999115720268</v>
      </c>
      <c r="DA85" s="40" t="e">
        <f t="shared" si="897"/>
        <v>#DIV/0!</v>
      </c>
      <c r="DB85" s="21">
        <f>3.9261883626*AC85</f>
        <v>14572.223276193768</v>
      </c>
      <c r="DC85" s="43">
        <v>30</v>
      </c>
      <c r="DD85" s="40">
        <f t="shared" si="898"/>
        <v>93327</v>
      </c>
      <c r="DE85" s="41">
        <f t="shared" si="899"/>
        <v>49.113291276135548</v>
      </c>
      <c r="DF85" s="42">
        <f t="shared" si="900"/>
        <v>1.806704053308092</v>
      </c>
      <c r="DG85" s="40" t="e">
        <f t="shared" si="901"/>
        <v>#DIV/0!</v>
      </c>
      <c r="DH85" s="40">
        <f>3.9844187952*AC85</f>
        <v>14788.348124761815</v>
      </c>
      <c r="DI85" s="43">
        <v>70</v>
      </c>
      <c r="DJ85" s="40">
        <f t="shared" si="902"/>
        <v>217743</v>
      </c>
      <c r="DK85" s="41">
        <f t="shared" si="903"/>
        <v>114.59539653929345</v>
      </c>
      <c r="DL85" s="42">
        <f t="shared" si="904"/>
        <v>1.9020957527262055</v>
      </c>
      <c r="DM85" s="40" t="e">
        <f t="shared" si="905"/>
        <v>#DIV/0!</v>
      </c>
      <c r="DN85" s="40">
        <f>4.1947910913*AC85</f>
        <v>15569.154287577869</v>
      </c>
      <c r="DO85" s="44">
        <v>3.9</v>
      </c>
      <c r="DP85" s="7"/>
      <c r="DQ85" s="40">
        <f t="shared" si="906"/>
        <v>39054.182399999998</v>
      </c>
      <c r="DR85" s="40">
        <v>15</v>
      </c>
      <c r="DS85" s="40">
        <f t="shared" si="907"/>
        <v>46671</v>
      </c>
      <c r="DT85" s="41">
        <f t="shared" si="908"/>
        <v>24.557501802451334</v>
      </c>
      <c r="DU85" s="42">
        <f t="shared" si="909"/>
        <v>0.11028627686676459</v>
      </c>
      <c r="DV85" s="40">
        <f t="shared" si="910"/>
        <v>27.286113113834816</v>
      </c>
      <c r="DW85" s="40">
        <f>0.4598190672*AC85</f>
        <v>1706.6389829173365</v>
      </c>
      <c r="DX85" s="43">
        <v>30</v>
      </c>
      <c r="DY85" s="40">
        <f t="shared" si="911"/>
        <v>93327</v>
      </c>
      <c r="DZ85" s="41">
        <f t="shared" si="912"/>
        <v>49.113291276135548</v>
      </c>
      <c r="EA85" s="42">
        <f t="shared" si="913"/>
        <v>0.11413893047994518</v>
      </c>
      <c r="EB85" s="40">
        <f t="shared" si="914"/>
        <v>54.570323640150605</v>
      </c>
      <c r="EC85" s="40">
        <f>0.475882023*AC85</f>
        <v>1766.2573600239875</v>
      </c>
      <c r="ED85" s="43">
        <v>70</v>
      </c>
      <c r="EE85" s="40">
        <f t="shared" si="915"/>
        <v>217743</v>
      </c>
      <c r="EF85" s="41">
        <f t="shared" si="916"/>
        <v>114.59539653929345</v>
      </c>
      <c r="EG85" s="42">
        <f t="shared" si="917"/>
        <v>0.17639447488593804</v>
      </c>
      <c r="EH85" s="40">
        <f t="shared" si="918"/>
        <v>127.32821837699271</v>
      </c>
      <c r="EI85" s="40">
        <f>0.7354454716*AC85</f>
        <v>2729.6386800259788</v>
      </c>
      <c r="EJ85" s="44">
        <v>3.9</v>
      </c>
    </row>
    <row r="86" spans="1:140">
      <c r="A86" s="48" t="str">
        <f t="shared" si="0"/>
        <v>PmKr</v>
      </c>
      <c r="B86" s="49">
        <v>31</v>
      </c>
      <c r="C86" s="48" t="s">
        <v>90</v>
      </c>
      <c r="D86" s="48" t="s">
        <v>81</v>
      </c>
      <c r="E86" s="48" t="s">
        <v>77</v>
      </c>
      <c r="F86" s="3"/>
      <c r="G86" s="50">
        <v>10000</v>
      </c>
      <c r="H86" s="51">
        <v>7225</v>
      </c>
      <c r="I86" s="51">
        <v>1164</v>
      </c>
      <c r="J86" s="51">
        <v>931</v>
      </c>
      <c r="K86" s="51">
        <v>680</v>
      </c>
      <c r="L86" s="51">
        <f>324*6</f>
        <v>1944</v>
      </c>
      <c r="M86" s="121"/>
      <c r="N86" s="53">
        <f t="shared" si="835"/>
        <v>0.19439999999999999</v>
      </c>
      <c r="O86" s="52">
        <f t="shared" si="836"/>
        <v>2392.6153846153848</v>
      </c>
      <c r="P86" s="52">
        <f t="shared" si="837"/>
        <v>1914.0923076923079</v>
      </c>
      <c r="Q86" s="52">
        <f t="shared" si="838"/>
        <v>957.04615384615386</v>
      </c>
      <c r="R86" s="52">
        <f t="shared" si="839"/>
        <v>765.63692307692315</v>
      </c>
      <c r="S86" s="52">
        <f t="shared" si="4"/>
        <v>2871.1384615384613</v>
      </c>
      <c r="T86" s="3"/>
      <c r="U86" s="58">
        <f t="shared" si="840"/>
        <v>1944</v>
      </c>
      <c r="V86" s="56">
        <f t="shared" si="841"/>
        <v>0.19439999999999999</v>
      </c>
      <c r="W86" s="110">
        <f t="shared" si="842"/>
        <v>0.77759999999999996</v>
      </c>
      <c r="X86" s="3"/>
      <c r="Y86" s="57">
        <v>4</v>
      </c>
      <c r="Z86" s="58">
        <f t="shared" si="843"/>
        <v>7776</v>
      </c>
      <c r="AA86" s="58">
        <f t="shared" si="844"/>
        <v>6220.8</v>
      </c>
      <c r="AB86" s="58">
        <f t="shared" si="845"/>
        <v>8733.0461538461532</v>
      </c>
      <c r="AC86" s="58">
        <f t="shared" si="846"/>
        <v>7423.0892307692302</v>
      </c>
      <c r="AD86" s="58">
        <f t="shared" si="847"/>
        <v>6220.8</v>
      </c>
      <c r="AE86" s="58">
        <f t="shared" si="848"/>
        <v>199.38461538461539</v>
      </c>
      <c r="AF86" s="58">
        <f t="shared" si="849"/>
        <v>6021.4153846153849</v>
      </c>
      <c r="AG86" s="3"/>
      <c r="AH86" s="58">
        <f t="shared" si="850"/>
        <v>1944</v>
      </c>
      <c r="AI86" s="51">
        <f>324*6</f>
        <v>1944</v>
      </c>
      <c r="AJ86" s="51">
        <f>864*6</f>
        <v>5184</v>
      </c>
      <c r="AK86" s="58">
        <f t="shared" si="853"/>
        <v>9072</v>
      </c>
      <c r="AL86" s="51">
        <f>3888*6</f>
        <v>23328</v>
      </c>
      <c r="AM86" s="59">
        <f t="shared" si="854"/>
        <v>0.3888888888888889</v>
      </c>
      <c r="AN86" s="32"/>
      <c r="AO86" s="50">
        <v>200</v>
      </c>
      <c r="AP86" s="60">
        <f>10.5*6</f>
        <v>63</v>
      </c>
      <c r="AQ86" s="55">
        <f t="shared" si="856"/>
        <v>263</v>
      </c>
      <c r="AR86" s="3"/>
      <c r="AS86" s="55">
        <v>6</v>
      </c>
      <c r="AT86" s="3"/>
      <c r="AU86" s="58">
        <v>41</v>
      </c>
      <c r="AV86" s="58">
        <v>78</v>
      </c>
      <c r="AW86" s="58">
        <v>121</v>
      </c>
      <c r="AX86" s="62">
        <f t="shared" si="857"/>
        <v>151.72682926829268</v>
      </c>
      <c r="AY86" s="62">
        <f t="shared" si="858"/>
        <v>79.753846153846155</v>
      </c>
      <c r="AZ86" s="62">
        <f t="shared" si="859"/>
        <v>12.8125</v>
      </c>
      <c r="BA86" s="62">
        <f t="shared" si="860"/>
        <v>24.375</v>
      </c>
      <c r="BB86" s="3"/>
      <c r="BC86" s="58" t="s">
        <v>89</v>
      </c>
      <c r="BD86" s="58">
        <f t="shared" si="861"/>
        <v>1944</v>
      </c>
      <c r="BE86" s="58">
        <f t="shared" si="862"/>
        <v>6609.4523076923069</v>
      </c>
      <c r="BF86" s="58" t="e" vm="1">
        <f>'[1]4 - Flächen'!AJ86</f>
        <v>#VALUE!</v>
      </c>
      <c r="BG86" s="58" t="e" vm="2">
        <f t="shared" si="863"/>
        <v>#VALUE!</v>
      </c>
      <c r="BH86" s="58">
        <f t="shared" si="864"/>
        <v>957.04615384615386</v>
      </c>
      <c r="BI86" s="58" t="e" vm="2">
        <f t="shared" si="865"/>
        <v>#VALUE!</v>
      </c>
      <c r="BJ86" s="58">
        <f t="shared" si="866"/>
        <v>91.753846153846155</v>
      </c>
      <c r="BK86" s="64">
        <v>0.18</v>
      </c>
      <c r="BL86" s="58">
        <f t="shared" si="867"/>
        <v>1119.7439999999999</v>
      </c>
      <c r="BM86" s="58">
        <f t="shared" si="868"/>
        <v>4980.627692307693</v>
      </c>
      <c r="BN86" s="58">
        <f t="shared" si="869"/>
        <v>3134.3261538461538</v>
      </c>
      <c r="BO86" s="58">
        <f t="shared" si="870"/>
        <v>319.01538461538462</v>
      </c>
      <c r="BP86" s="58" cm="1">
        <f t="array" ref="BP86">BE86 - _xlfn.IFS(
    _xlfn.XOR(Y86 &lt; 2.5, Y86 = 2.5), 0.5 * AH86,
    _xlfn.XOR(Y86 &lt; 2.5, Y86 = 2.5) = FALSE, 0
)</f>
        <v>6609.4523076923069</v>
      </c>
      <c r="BQ86" s="58">
        <f t="shared" si="871"/>
        <v>24</v>
      </c>
      <c r="BR86" s="58" t="e" vm="1">
        <f>'[1]4 - Flächen'!AI86</f>
        <v>#VALUE!</v>
      </c>
      <c r="BS86" s="26"/>
      <c r="BT86" s="58">
        <f t="shared" si="872"/>
        <v>3483.6480000000006</v>
      </c>
      <c r="BU86" s="58">
        <f t="shared" si="873"/>
        <v>35520.768000000004</v>
      </c>
      <c r="BV86" s="58">
        <f t="shared" si="874"/>
        <v>4545.9692307692312</v>
      </c>
      <c r="BW86" s="58">
        <f t="shared" si="875"/>
        <v>2233.1076923076926</v>
      </c>
      <c r="BX86" s="58"/>
      <c r="BY86" s="58">
        <f t="shared" si="876"/>
        <v>6</v>
      </c>
      <c r="BZ86" s="3"/>
      <c r="CA86" s="128">
        <f t="shared" si="877"/>
        <v>2503.4732307692311</v>
      </c>
      <c r="CB86" s="68">
        <v>15</v>
      </c>
      <c r="CC86" s="65">
        <f t="shared" si="878"/>
        <v>93327</v>
      </c>
      <c r="CD86" s="66">
        <f t="shared" si="879"/>
        <v>49.113291276135548</v>
      </c>
      <c r="CE86" s="67">
        <f t="shared" si="880"/>
        <v>0.19213972204510379</v>
      </c>
      <c r="CF86" s="65" t="e">
        <f t="shared" si="881"/>
        <v>#DIV/0!</v>
      </c>
      <c r="CG86" s="65">
        <f>0.4237357626*AC86</f>
        <v>3145.428376047847</v>
      </c>
      <c r="CH86" s="68">
        <v>30</v>
      </c>
      <c r="CI86" s="65">
        <f t="shared" si="883"/>
        <v>186639</v>
      </c>
      <c r="CJ86" s="66">
        <f t="shared" si="884"/>
        <v>98.22487022350397</v>
      </c>
      <c r="CK86" s="67">
        <f t="shared" si="885"/>
        <v>0.20706707251480574</v>
      </c>
      <c r="CL86" s="65" t="e">
        <f t="shared" si="886"/>
        <v>#DIV/0!</v>
      </c>
      <c r="CM86" s="129">
        <f>0.4566558281*AC86</f>
        <v>3389.7969597371148</v>
      </c>
      <c r="CN86" s="68">
        <v>70</v>
      </c>
      <c r="CO86" s="65">
        <f t="shared" si="888"/>
        <v>435471</v>
      </c>
      <c r="CP86" s="66">
        <f t="shared" si="889"/>
        <v>229.18908074981977</v>
      </c>
      <c r="CQ86" s="67">
        <f t="shared" si="890"/>
        <v>0.27630607778645955</v>
      </c>
      <c r="CR86" s="65" t="e">
        <f t="shared" si="891"/>
        <v>#DIV/0!</v>
      </c>
      <c r="CS86" s="65">
        <f>0.6093522221*AC86</f>
        <v>4523.2759176158097</v>
      </c>
      <c r="CT86" s="69">
        <v>3.05</v>
      </c>
      <c r="CU86" s="3"/>
      <c r="CV86" s="65">
        <f t="shared" si="893"/>
        <v>78108.364799999996</v>
      </c>
      <c r="CW86" s="65">
        <v>15</v>
      </c>
      <c r="CX86" s="65">
        <f t="shared" si="894"/>
        <v>93327</v>
      </c>
      <c r="CY86" s="66">
        <f t="shared" si="895"/>
        <v>49.113291276135548</v>
      </c>
      <c r="CZ86" s="67">
        <f t="shared" si="896"/>
        <v>1.4619050346586171</v>
      </c>
      <c r="DA86" s="65" t="e">
        <f t="shared" si="897"/>
        <v>#DIV/0!</v>
      </c>
      <c r="DB86" s="50">
        <f>3.2240155139*AC86</f>
        <v>23932.154841064013</v>
      </c>
      <c r="DC86" s="68">
        <v>30</v>
      </c>
      <c r="DD86" s="65">
        <f t="shared" si="898"/>
        <v>186639</v>
      </c>
      <c r="DE86" s="66">
        <f t="shared" si="899"/>
        <v>98.22487022350397</v>
      </c>
      <c r="DF86" s="67">
        <f t="shared" si="900"/>
        <v>1.4886486658844535</v>
      </c>
      <c r="DG86" s="65" t="e">
        <f t="shared" si="901"/>
        <v>#DIV/0!</v>
      </c>
      <c r="DH86" s="65">
        <f>3.2829946404*AC86</f>
        <v>24369.962159826344</v>
      </c>
      <c r="DI86" s="68">
        <v>70</v>
      </c>
      <c r="DJ86" s="65">
        <f t="shared" si="902"/>
        <v>435471</v>
      </c>
      <c r="DK86" s="66">
        <f t="shared" si="903"/>
        <v>229.18908074981977</v>
      </c>
      <c r="DL86" s="67">
        <f t="shared" si="904"/>
        <v>1.5872437436723825</v>
      </c>
      <c r="DM86" s="65" t="e">
        <f t="shared" si="905"/>
        <v>#DIV/0!</v>
      </c>
      <c r="DN86" s="65">
        <f>3.5004315141*AC86</f>
        <v>25984.015475360942</v>
      </c>
      <c r="DO86" s="69">
        <v>3.9</v>
      </c>
      <c r="DP86" s="7"/>
      <c r="DQ86" s="65">
        <f t="shared" si="906"/>
        <v>78108.364799999996</v>
      </c>
      <c r="DR86" s="65">
        <v>15</v>
      </c>
      <c r="DS86" s="65">
        <f t="shared" si="907"/>
        <v>93327</v>
      </c>
      <c r="DT86" s="66">
        <f t="shared" si="908"/>
        <v>49.113291276135548</v>
      </c>
      <c r="DU86" s="67">
        <f t="shared" si="909"/>
        <v>0.10816610878750239</v>
      </c>
      <c r="DV86" s="65">
        <f t="shared" si="910"/>
        <v>54.570323640150605</v>
      </c>
      <c r="DW86" s="65">
        <f>0.4509794025*AC86</f>
        <v>3347.6603459964922</v>
      </c>
      <c r="DX86" s="68">
        <v>30</v>
      </c>
      <c r="DY86" s="65">
        <f t="shared" si="911"/>
        <v>186639</v>
      </c>
      <c r="DZ86" s="66">
        <f t="shared" si="912"/>
        <v>98.22487022350397</v>
      </c>
      <c r="EA86" s="67">
        <f t="shared" si="913"/>
        <v>0.11820218837663075</v>
      </c>
      <c r="EB86" s="65">
        <f t="shared" si="914"/>
        <v>109.13874469278218</v>
      </c>
      <c r="EC86" s="65">
        <f>0.492823056*AC86</f>
        <v>3658.2695196683812</v>
      </c>
      <c r="ED86" s="68">
        <v>70</v>
      </c>
      <c r="EE86" s="65">
        <f t="shared" si="915"/>
        <v>435471</v>
      </c>
      <c r="EF86" s="66">
        <f t="shared" si="916"/>
        <v>229.18908074981977</v>
      </c>
      <c r="EG86" s="67">
        <f t="shared" si="917"/>
        <v>0.16910505320361632</v>
      </c>
      <c r="EH86" s="65">
        <f t="shared" si="918"/>
        <v>254.65453416646639</v>
      </c>
      <c r="EI86" s="65">
        <f>0.705053521*AC86</f>
        <v>5233.6751988510268</v>
      </c>
      <c r="EJ86" s="69">
        <v>3.9</v>
      </c>
    </row>
    <row r="87" spans="1:140">
      <c r="A87" s="48" t="str">
        <f t="shared" si="0"/>
        <v>PmKu</v>
      </c>
      <c r="B87" s="49">
        <v>32</v>
      </c>
      <c r="C87" s="48" t="s">
        <v>90</v>
      </c>
      <c r="D87" s="48" t="s">
        <v>81</v>
      </c>
      <c r="E87" s="48" t="s">
        <v>79</v>
      </c>
      <c r="F87" s="3"/>
      <c r="G87" s="50">
        <v>10000</v>
      </c>
      <c r="H87" s="51">
        <v>8500</v>
      </c>
      <c r="I87" s="51">
        <v>600</v>
      </c>
      <c r="J87" s="51">
        <v>560</v>
      </c>
      <c r="K87" s="51">
        <v>340</v>
      </c>
      <c r="L87" s="51">
        <f t="shared" ref="L87:L88" si="919">324*5</f>
        <v>1620</v>
      </c>
      <c r="M87" s="177"/>
      <c r="N87" s="53">
        <f t="shared" si="835"/>
        <v>0.16200000000000001</v>
      </c>
      <c r="O87" s="52">
        <f t="shared" si="836"/>
        <v>1993.846153846154</v>
      </c>
      <c r="P87" s="52">
        <f t="shared" si="837"/>
        <v>1595.0769230769233</v>
      </c>
      <c r="Q87" s="52">
        <f t="shared" si="838"/>
        <v>797.53846153846166</v>
      </c>
      <c r="R87" s="52">
        <f t="shared" si="839"/>
        <v>638.03076923076935</v>
      </c>
      <c r="S87" s="52">
        <f t="shared" si="4"/>
        <v>2392.6153846153848</v>
      </c>
      <c r="T87" s="3"/>
      <c r="U87" s="58">
        <v>1330</v>
      </c>
      <c r="V87" s="56">
        <f t="shared" si="841"/>
        <v>0.13300000000000001</v>
      </c>
      <c r="W87" s="110">
        <f t="shared" si="842"/>
        <v>0.64800000000000002</v>
      </c>
      <c r="X87" s="3"/>
      <c r="Y87" s="57">
        <v>4</v>
      </c>
      <c r="Z87" s="58">
        <f t="shared" si="843"/>
        <v>6480</v>
      </c>
      <c r="AA87" s="58">
        <f t="shared" si="844"/>
        <v>5184</v>
      </c>
      <c r="AB87" s="58">
        <f t="shared" si="845"/>
        <v>7277.5384615384619</v>
      </c>
      <c r="AC87" s="58">
        <f t="shared" si="846"/>
        <v>6185.9076923076927</v>
      </c>
      <c r="AD87" s="58">
        <f t="shared" si="847"/>
        <v>5184</v>
      </c>
      <c r="AE87" s="58">
        <f t="shared" si="848"/>
        <v>166.15384615384616</v>
      </c>
      <c r="AF87" s="58">
        <f t="shared" si="849"/>
        <v>5017.8461538461543</v>
      </c>
      <c r="AG87" s="3"/>
      <c r="AH87" s="58">
        <f t="shared" si="850"/>
        <v>1620</v>
      </c>
      <c r="AI87" s="51">
        <f t="shared" ref="AI87:AI88" si="920">324*5</f>
        <v>1620</v>
      </c>
      <c r="AJ87" s="51">
        <f t="shared" ref="AJ87:AJ88" si="921">864*5</f>
        <v>4320</v>
      </c>
      <c r="AK87" s="58">
        <f t="shared" si="853"/>
        <v>7560</v>
      </c>
      <c r="AL87" s="51">
        <f t="shared" ref="AL87:AL88" si="922">3888*5</f>
        <v>19440</v>
      </c>
      <c r="AM87" s="59">
        <f t="shared" si="854"/>
        <v>0.3888888888888889</v>
      </c>
      <c r="AN87" s="32"/>
      <c r="AO87" s="50">
        <v>100</v>
      </c>
      <c r="AP87" s="60">
        <f t="shared" ref="AP87:AP88" si="923">10.5*5</f>
        <v>52.5</v>
      </c>
      <c r="AQ87" s="55">
        <f t="shared" si="856"/>
        <v>152.5</v>
      </c>
      <c r="AR87" s="3"/>
      <c r="AS87" s="55">
        <v>5</v>
      </c>
      <c r="AT87" s="3"/>
      <c r="AU87" s="58">
        <v>41</v>
      </c>
      <c r="AV87" s="58">
        <v>78</v>
      </c>
      <c r="AW87" s="58">
        <v>121</v>
      </c>
      <c r="AX87" s="62">
        <f t="shared" si="857"/>
        <v>126.4390243902439</v>
      </c>
      <c r="AY87" s="62">
        <f t="shared" si="858"/>
        <v>66.461538461538467</v>
      </c>
      <c r="AZ87" s="62">
        <f t="shared" si="859"/>
        <v>12.8125</v>
      </c>
      <c r="BA87" s="62">
        <f t="shared" si="860"/>
        <v>24.374999999999996</v>
      </c>
      <c r="BB87" s="3"/>
      <c r="BC87" s="58" t="s">
        <v>89</v>
      </c>
      <c r="BD87" s="58">
        <f t="shared" si="861"/>
        <v>1620</v>
      </c>
      <c r="BE87" s="58">
        <f t="shared" si="862"/>
        <v>5507.876923076923</v>
      </c>
      <c r="BF87" s="58" t="e" vm="1">
        <f>'[1]4 - Flächen'!AJ87</f>
        <v>#VALUE!</v>
      </c>
      <c r="BG87" s="58" t="e" vm="2">
        <f t="shared" si="863"/>
        <v>#VALUE!</v>
      </c>
      <c r="BH87" s="58">
        <f t="shared" si="864"/>
        <v>797.53846153846166</v>
      </c>
      <c r="BI87" s="58" t="e" vm="2">
        <f t="shared" si="865"/>
        <v>#VALUE!</v>
      </c>
      <c r="BJ87" s="58">
        <f t="shared" si="866"/>
        <v>76.461538461538467</v>
      </c>
      <c r="BK87" s="64">
        <v>0.18</v>
      </c>
      <c r="BL87" s="58">
        <f t="shared" si="867"/>
        <v>933.12</v>
      </c>
      <c r="BM87" s="58">
        <f t="shared" si="868"/>
        <v>4150.5230769230775</v>
      </c>
      <c r="BN87" s="58">
        <f t="shared" si="869"/>
        <v>2611.9384615384615</v>
      </c>
      <c r="BO87" s="58">
        <f t="shared" si="870"/>
        <v>265.84615384615387</v>
      </c>
      <c r="BP87" s="58" cm="1">
        <f t="array" ref="BP87">BE87 - _xlfn.IFS(
    _xlfn.XOR(Y87 &lt; 2.5, Y87 = 2.5), 0.5 * AH87,
    _xlfn.XOR(Y87 &lt; 2.5, Y87 = 2.5) = FALSE, 0
)</f>
        <v>5507.876923076923</v>
      </c>
      <c r="BQ87" s="58">
        <f t="shared" si="871"/>
        <v>20</v>
      </c>
      <c r="BR87" s="58" t="e" vm="1">
        <f>'[1]4 - Flächen'!AI87</f>
        <v>#VALUE!</v>
      </c>
      <c r="BS87" s="26"/>
      <c r="BT87" s="58">
        <f t="shared" si="872"/>
        <v>2903.0400000000004</v>
      </c>
      <c r="BU87" s="58">
        <f t="shared" si="873"/>
        <v>29600.639999999999</v>
      </c>
      <c r="BV87" s="58">
        <f t="shared" si="874"/>
        <v>3788.3076923076928</v>
      </c>
      <c r="BW87" s="58">
        <f t="shared" si="875"/>
        <v>1860.9230769230771</v>
      </c>
      <c r="BX87" s="58"/>
      <c r="BY87" s="58">
        <f t="shared" si="876"/>
        <v>5</v>
      </c>
      <c r="BZ87" s="3"/>
      <c r="CA87" s="128">
        <f t="shared" si="877"/>
        <v>2086.2276923076925</v>
      </c>
      <c r="CB87" s="68">
        <v>15</v>
      </c>
      <c r="CC87" s="65">
        <f t="shared" si="878"/>
        <v>77775</v>
      </c>
      <c r="CD87" s="66">
        <f t="shared" si="879"/>
        <v>40.92802811824081</v>
      </c>
      <c r="CE87" s="67">
        <f t="shared" si="880"/>
        <v>0.18941249954299233</v>
      </c>
      <c r="CF87" s="65" t="e">
        <f t="shared" si="881"/>
        <v>#DIV/0!</v>
      </c>
      <c r="CG87" s="65">
        <f t="shared" ref="CG87:CG88" si="924">0.4177212764*AC87</f>
        <v>2583.9852569233481</v>
      </c>
      <c r="CH87" s="68">
        <v>30</v>
      </c>
      <c r="CI87" s="65">
        <f t="shared" si="883"/>
        <v>155535</v>
      </c>
      <c r="CJ87" s="66">
        <f t="shared" si="884"/>
        <v>81.854343907714494</v>
      </c>
      <c r="CK87" s="67">
        <f t="shared" si="885"/>
        <v>0.20405360993085195</v>
      </c>
      <c r="CL87" s="65" t="e">
        <f t="shared" si="886"/>
        <v>#DIV/0!</v>
      </c>
      <c r="CM87" s="122">
        <f t="shared" ref="CM87:CM88" si="925">0.4500100817*AC87</f>
        <v>2783.7208260040434</v>
      </c>
      <c r="CN87" s="68">
        <v>70</v>
      </c>
      <c r="CO87" s="65">
        <f t="shared" si="888"/>
        <v>362895</v>
      </c>
      <c r="CP87" s="66">
        <f t="shared" si="889"/>
        <v>190.99118601297766</v>
      </c>
      <c r="CQ87" s="67">
        <f t="shared" si="890"/>
        <v>0.26749799319928463</v>
      </c>
      <c r="CR87" s="65" t="e">
        <f t="shared" si="891"/>
        <v>#DIV/0!</v>
      </c>
      <c r="CS87" s="65">
        <f t="shared" ref="CS87:CS88" si="926">0.5899272932*AC87</f>
        <v>3649.2357809081359</v>
      </c>
      <c r="CT87" s="69">
        <v>3.05</v>
      </c>
      <c r="CU87" s="3"/>
      <c r="CV87" s="65">
        <f t="shared" si="893"/>
        <v>65090.303999999996</v>
      </c>
      <c r="CW87" s="65">
        <v>15</v>
      </c>
      <c r="CX87" s="65">
        <f t="shared" si="894"/>
        <v>77775</v>
      </c>
      <c r="CY87" s="66">
        <f t="shared" si="895"/>
        <v>40.92802811824081</v>
      </c>
      <c r="CZ87" s="67">
        <f t="shared" si="896"/>
        <v>1.4505224440818751</v>
      </c>
      <c r="DA87" s="65" t="e">
        <f t="shared" si="897"/>
        <v>#DIV/0!</v>
      </c>
      <c r="DB87" s="50">
        <f>3.1989128925*AC87</f>
        <v>19788.179868738003</v>
      </c>
      <c r="DC87" s="68">
        <v>30</v>
      </c>
      <c r="DD87" s="65">
        <f t="shared" si="898"/>
        <v>155535</v>
      </c>
      <c r="DE87" s="66">
        <f t="shared" si="899"/>
        <v>81.854343907714494</v>
      </c>
      <c r="DF87" s="67">
        <f t="shared" si="900"/>
        <v>1.4769661322900192</v>
      </c>
      <c r="DG87" s="65" t="e">
        <f t="shared" si="901"/>
        <v>#DIV/0!</v>
      </c>
      <c r="DH87" s="65">
        <f>3.257230539*AC87</f>
        <v>20148.927446819631</v>
      </c>
      <c r="DI87" s="68">
        <v>70</v>
      </c>
      <c r="DJ87" s="65">
        <f t="shared" si="902"/>
        <v>362895</v>
      </c>
      <c r="DK87" s="66">
        <f t="shared" si="903"/>
        <v>190.99118601297766</v>
      </c>
      <c r="DL87" s="67">
        <f t="shared" si="904"/>
        <v>1.5662874780578617</v>
      </c>
      <c r="DM87" s="65" t="e">
        <f t="shared" si="905"/>
        <v>#DIV/0!</v>
      </c>
      <c r="DN87" s="65">
        <f>3.4542155672*AC87</f>
        <v>21367.458648031461</v>
      </c>
      <c r="DO87" s="69">
        <v>3.9</v>
      </c>
      <c r="DP87" s="7"/>
      <c r="DQ87" s="65">
        <f t="shared" si="906"/>
        <v>65090.303999999996</v>
      </c>
      <c r="DR87" s="65">
        <v>15</v>
      </c>
      <c r="DS87" s="65">
        <f t="shared" si="907"/>
        <v>77775</v>
      </c>
      <c r="DT87" s="66">
        <f t="shared" si="908"/>
        <v>40.92802811824081</v>
      </c>
      <c r="DU87" s="67">
        <f t="shared" si="909"/>
        <v>0.10573101221162624</v>
      </c>
      <c r="DV87" s="65">
        <f t="shared" si="910"/>
        <v>45.475586798045342</v>
      </c>
      <c r="DW87" s="65">
        <f>0.4408266993*AC87</f>
        <v>2726.9132701744802</v>
      </c>
      <c r="DX87" s="68">
        <v>30</v>
      </c>
      <c r="DY87" s="65">
        <f t="shared" si="911"/>
        <v>155535</v>
      </c>
      <c r="DZ87" s="66">
        <f t="shared" si="912"/>
        <v>81.854343907714494</v>
      </c>
      <c r="EA87" s="67">
        <f t="shared" si="913"/>
        <v>0.11513983681294269</v>
      </c>
      <c r="EB87" s="65">
        <f t="shared" si="914"/>
        <v>90.949271008571657</v>
      </c>
      <c r="EC87" s="65">
        <f>0.4800551244*AC87</f>
        <v>2969.5766867576863</v>
      </c>
      <c r="ED87" s="68">
        <v>70</v>
      </c>
      <c r="EE87" s="65">
        <f t="shared" si="915"/>
        <v>362895</v>
      </c>
      <c r="EF87" s="66">
        <f t="shared" si="916"/>
        <v>190.99118601297766</v>
      </c>
      <c r="EG87" s="67">
        <f t="shared" si="917"/>
        <v>0.1628191253729423</v>
      </c>
      <c r="EH87" s="65">
        <f t="shared" si="918"/>
        <v>212.21242890330851</v>
      </c>
      <c r="EI87" s="65">
        <f>0.67884546*AC87</f>
        <v>4199.2753529021538</v>
      </c>
      <c r="EJ87" s="69">
        <v>3.9</v>
      </c>
    </row>
    <row r="88" spans="1:140">
      <c r="A88" s="48" t="str">
        <f t="shared" si="0"/>
        <v>PmWe</v>
      </c>
      <c r="B88" s="49">
        <v>33</v>
      </c>
      <c r="C88" s="48" t="s">
        <v>90</v>
      </c>
      <c r="D88" s="48" t="s">
        <v>81</v>
      </c>
      <c r="E88" s="48" t="s">
        <v>80</v>
      </c>
      <c r="F88" s="3"/>
      <c r="G88" s="50">
        <v>10000</v>
      </c>
      <c r="H88" s="51">
        <v>8493</v>
      </c>
      <c r="I88" s="51">
        <v>764</v>
      </c>
      <c r="J88" s="51">
        <v>423</v>
      </c>
      <c r="K88" s="51">
        <v>320</v>
      </c>
      <c r="L88" s="51">
        <f t="shared" si="919"/>
        <v>1620</v>
      </c>
      <c r="M88" s="179"/>
      <c r="N88" s="53">
        <f t="shared" si="835"/>
        <v>0.16200000000000001</v>
      </c>
      <c r="O88" s="52">
        <f t="shared" si="836"/>
        <v>1993.846153846154</v>
      </c>
      <c r="P88" s="52">
        <f t="shared" si="837"/>
        <v>1595.0769230769233</v>
      </c>
      <c r="Q88" s="52">
        <f t="shared" si="838"/>
        <v>797.53846153846166</v>
      </c>
      <c r="R88" s="52">
        <f t="shared" si="839"/>
        <v>638.03076923076935</v>
      </c>
      <c r="S88" s="52">
        <f t="shared" si="4"/>
        <v>2392.6153846153848</v>
      </c>
      <c r="T88" s="3"/>
      <c r="U88" s="58">
        <f t="shared" ref="U88:U91" si="927">L88+M88</f>
        <v>1620</v>
      </c>
      <c r="V88" s="56">
        <f t="shared" si="841"/>
        <v>0.16200000000000001</v>
      </c>
      <c r="W88" s="110">
        <f t="shared" si="842"/>
        <v>0.64800000000000002</v>
      </c>
      <c r="X88" s="3"/>
      <c r="Y88" s="57">
        <v>4</v>
      </c>
      <c r="Z88" s="58">
        <f t="shared" si="843"/>
        <v>6480</v>
      </c>
      <c r="AA88" s="58">
        <f t="shared" si="844"/>
        <v>5184</v>
      </c>
      <c r="AB88" s="58">
        <f t="shared" si="845"/>
        <v>7277.5384615384619</v>
      </c>
      <c r="AC88" s="58">
        <f t="shared" si="846"/>
        <v>6185.9076923076927</v>
      </c>
      <c r="AD88" s="58">
        <f t="shared" si="847"/>
        <v>5184</v>
      </c>
      <c r="AE88" s="58">
        <f t="shared" si="848"/>
        <v>166.15384615384616</v>
      </c>
      <c r="AF88" s="58">
        <f t="shared" si="849"/>
        <v>5017.8461538461543</v>
      </c>
      <c r="AG88" s="3"/>
      <c r="AH88" s="58">
        <f t="shared" si="850"/>
        <v>1620</v>
      </c>
      <c r="AI88" s="51">
        <f t="shared" si="920"/>
        <v>1620</v>
      </c>
      <c r="AJ88" s="51">
        <f t="shared" si="921"/>
        <v>4320</v>
      </c>
      <c r="AK88" s="58">
        <f t="shared" si="853"/>
        <v>7560</v>
      </c>
      <c r="AL88" s="51">
        <f t="shared" si="922"/>
        <v>19440</v>
      </c>
      <c r="AM88" s="59">
        <f t="shared" si="854"/>
        <v>0.3888888888888889</v>
      </c>
      <c r="AN88" s="32"/>
      <c r="AO88" s="50">
        <v>90</v>
      </c>
      <c r="AP88" s="60">
        <f t="shared" si="923"/>
        <v>52.5</v>
      </c>
      <c r="AQ88" s="55">
        <f t="shared" si="856"/>
        <v>142.5</v>
      </c>
      <c r="AR88" s="3"/>
      <c r="AS88" s="55">
        <v>5</v>
      </c>
      <c r="AT88" s="3"/>
      <c r="AU88" s="58">
        <v>41</v>
      </c>
      <c r="AV88" s="58">
        <v>78</v>
      </c>
      <c r="AW88" s="58">
        <v>121</v>
      </c>
      <c r="AX88" s="62">
        <f t="shared" si="857"/>
        <v>126.4390243902439</v>
      </c>
      <c r="AY88" s="62">
        <f t="shared" si="858"/>
        <v>66.461538461538467</v>
      </c>
      <c r="AZ88" s="62">
        <f t="shared" si="859"/>
        <v>12.8125</v>
      </c>
      <c r="BA88" s="62">
        <f t="shared" si="860"/>
        <v>24.374999999999996</v>
      </c>
      <c r="BB88" s="3"/>
      <c r="BC88" s="58" t="s">
        <v>89</v>
      </c>
      <c r="BD88" s="58">
        <f t="shared" si="861"/>
        <v>1620</v>
      </c>
      <c r="BE88" s="58">
        <f t="shared" si="862"/>
        <v>5507.876923076923</v>
      </c>
      <c r="BF88" s="58" t="e" vm="1">
        <f>'[1]4 - Flächen'!AJ88</f>
        <v>#VALUE!</v>
      </c>
      <c r="BG88" s="58" t="e" vm="2">
        <f t="shared" si="863"/>
        <v>#VALUE!</v>
      </c>
      <c r="BH88" s="58">
        <f t="shared" si="864"/>
        <v>797.53846153846166</v>
      </c>
      <c r="BI88" s="58" t="e" vm="2">
        <f t="shared" si="865"/>
        <v>#VALUE!</v>
      </c>
      <c r="BJ88" s="58">
        <f t="shared" si="866"/>
        <v>76.461538461538467</v>
      </c>
      <c r="BK88" s="64">
        <v>0.18</v>
      </c>
      <c r="BL88" s="58">
        <f t="shared" si="867"/>
        <v>933.12</v>
      </c>
      <c r="BM88" s="58">
        <f t="shared" si="868"/>
        <v>4150.5230769230775</v>
      </c>
      <c r="BN88" s="58">
        <f t="shared" si="869"/>
        <v>2611.9384615384615</v>
      </c>
      <c r="BO88" s="58">
        <f t="shared" si="870"/>
        <v>265.84615384615387</v>
      </c>
      <c r="BP88" s="58" cm="1">
        <f t="array" ref="BP88">BE88 - _xlfn.IFS(
    _xlfn.XOR(Y88 &lt; 2.5, Y88 = 2.5), 0.5 * AH88,
    _xlfn.XOR(Y88 &lt; 2.5, Y88 = 2.5) = FALSE, 0
)</f>
        <v>5507.876923076923</v>
      </c>
      <c r="BQ88" s="58">
        <f t="shared" si="871"/>
        <v>20</v>
      </c>
      <c r="BR88" s="58" t="e" vm="1">
        <f>'[1]4 - Flächen'!AI88</f>
        <v>#VALUE!</v>
      </c>
      <c r="BS88" s="26"/>
      <c r="BT88" s="58">
        <f t="shared" si="872"/>
        <v>2903.0400000000004</v>
      </c>
      <c r="BU88" s="58">
        <f t="shared" si="873"/>
        <v>29600.639999999999</v>
      </c>
      <c r="BV88" s="58">
        <f t="shared" si="874"/>
        <v>3788.3076923076928</v>
      </c>
      <c r="BW88" s="58">
        <f t="shared" si="875"/>
        <v>1860.9230769230771</v>
      </c>
      <c r="BX88" s="58"/>
      <c r="BY88" s="58">
        <f t="shared" si="876"/>
        <v>5</v>
      </c>
      <c r="BZ88" s="3"/>
      <c r="CA88" s="128">
        <f t="shared" si="877"/>
        <v>2086.2276923076925</v>
      </c>
      <c r="CB88" s="68">
        <v>15</v>
      </c>
      <c r="CC88" s="65">
        <f t="shared" si="878"/>
        <v>77775</v>
      </c>
      <c r="CD88" s="66">
        <f t="shared" si="879"/>
        <v>40.92802811824081</v>
      </c>
      <c r="CE88" s="67">
        <f t="shared" si="880"/>
        <v>0.18941249954299233</v>
      </c>
      <c r="CF88" s="65" t="e">
        <f t="shared" si="881"/>
        <v>#DIV/0!</v>
      </c>
      <c r="CG88" s="65">
        <f t="shared" si="924"/>
        <v>2583.9852569233481</v>
      </c>
      <c r="CH88" s="68">
        <v>30</v>
      </c>
      <c r="CI88" s="65">
        <f t="shared" si="883"/>
        <v>155535</v>
      </c>
      <c r="CJ88" s="66">
        <f t="shared" si="884"/>
        <v>81.854343907714494</v>
      </c>
      <c r="CK88" s="67">
        <f t="shared" si="885"/>
        <v>0.20405360993085195</v>
      </c>
      <c r="CL88" s="65" t="e">
        <f t="shared" si="886"/>
        <v>#DIV/0!</v>
      </c>
      <c r="CM88" s="122">
        <f t="shared" si="925"/>
        <v>2783.7208260040434</v>
      </c>
      <c r="CN88" s="68">
        <v>70</v>
      </c>
      <c r="CO88" s="65">
        <f t="shared" si="888"/>
        <v>362895</v>
      </c>
      <c r="CP88" s="66">
        <f t="shared" si="889"/>
        <v>190.99118601297766</v>
      </c>
      <c r="CQ88" s="67">
        <f t="shared" si="890"/>
        <v>0.26749799319928463</v>
      </c>
      <c r="CR88" s="65" t="e">
        <f t="shared" si="891"/>
        <v>#DIV/0!</v>
      </c>
      <c r="CS88" s="65">
        <f t="shared" si="926"/>
        <v>3649.2357809081359</v>
      </c>
      <c r="CT88" s="69">
        <v>3.05</v>
      </c>
      <c r="CU88" s="3"/>
      <c r="CV88" s="65">
        <f t="shared" si="893"/>
        <v>65090.303999999996</v>
      </c>
      <c r="CW88" s="65">
        <v>15</v>
      </c>
      <c r="CX88" s="65">
        <f t="shared" si="894"/>
        <v>77775</v>
      </c>
      <c r="CY88" s="66">
        <f t="shared" si="895"/>
        <v>40.92802811824081</v>
      </c>
      <c r="CZ88" s="67">
        <f t="shared" si="896"/>
        <v>1.4492064873501465</v>
      </c>
      <c r="DA88" s="65" t="e">
        <f t="shared" si="897"/>
        <v>#DIV/0!</v>
      </c>
      <c r="DB88" s="50">
        <f>3.1960107444*AC88</f>
        <v>19770.227448481997</v>
      </c>
      <c r="DC88" s="68">
        <v>30</v>
      </c>
      <c r="DD88" s="65">
        <f t="shared" si="898"/>
        <v>155535</v>
      </c>
      <c r="DE88" s="66">
        <f t="shared" si="899"/>
        <v>81.854343907714494</v>
      </c>
      <c r="DF88" s="67">
        <f t="shared" si="900"/>
        <v>1.4756501755582903</v>
      </c>
      <c r="DG88" s="65" t="e">
        <f t="shared" si="901"/>
        <v>#DIV/0!</v>
      </c>
      <c r="DH88" s="65">
        <f>3.2543283909*AC88</f>
        <v>20130.975026563625</v>
      </c>
      <c r="DI88" s="68">
        <v>70</v>
      </c>
      <c r="DJ88" s="65">
        <f t="shared" si="902"/>
        <v>362895</v>
      </c>
      <c r="DK88" s="66">
        <f t="shared" si="903"/>
        <v>190.99118601297766</v>
      </c>
      <c r="DL88" s="67">
        <f t="shared" si="904"/>
        <v>1.5649715213261326</v>
      </c>
      <c r="DM88" s="65" t="e">
        <f t="shared" si="905"/>
        <v>#DIV/0!</v>
      </c>
      <c r="DN88" s="65">
        <f>3.4513134191*AC88</f>
        <v>21349.506227775451</v>
      </c>
      <c r="DO88" s="69">
        <v>3.9</v>
      </c>
      <c r="DP88" s="7"/>
      <c r="DQ88" s="65">
        <f t="shared" si="906"/>
        <v>65090.303999999996</v>
      </c>
      <c r="DR88" s="65">
        <v>15</v>
      </c>
      <c r="DS88" s="65">
        <f t="shared" si="907"/>
        <v>77775</v>
      </c>
      <c r="DT88" s="66">
        <f t="shared" si="908"/>
        <v>40.92802811824081</v>
      </c>
      <c r="DU88" s="67">
        <f t="shared" si="909"/>
        <v>0.10569289119892358</v>
      </c>
      <c r="DV88" s="65">
        <f t="shared" si="910"/>
        <v>45.475586798045342</v>
      </c>
      <c r="DW88" s="65">
        <f>0.4406677605*AC88</f>
        <v>2725.930089428954</v>
      </c>
      <c r="DX88" s="68">
        <v>30</v>
      </c>
      <c r="DY88" s="65">
        <f t="shared" si="911"/>
        <v>155535</v>
      </c>
      <c r="DZ88" s="66">
        <f t="shared" si="912"/>
        <v>81.854343907714494</v>
      </c>
      <c r="EA88" s="67">
        <f t="shared" si="913"/>
        <v>0.11443026641505434</v>
      </c>
      <c r="EB88" s="65">
        <f t="shared" si="914"/>
        <v>90.949271008571657</v>
      </c>
      <c r="EC88" s="65">
        <f>0.4770966965*AC88</f>
        <v>2951.2761248539387</v>
      </c>
      <c r="ED88" s="68">
        <v>70</v>
      </c>
      <c r="EE88" s="65">
        <f t="shared" si="915"/>
        <v>362895</v>
      </c>
      <c r="EF88" s="66">
        <f t="shared" si="916"/>
        <v>190.99118601297766</v>
      </c>
      <c r="EG88" s="67">
        <f t="shared" si="917"/>
        <v>0.16278100436023962</v>
      </c>
      <c r="EH88" s="65">
        <f t="shared" si="918"/>
        <v>212.21242890330851</v>
      </c>
      <c r="EI88" s="65">
        <f>0.6786865212*AC88</f>
        <v>4198.2921721566281</v>
      </c>
      <c r="EJ88" s="69">
        <v>3.9</v>
      </c>
    </row>
    <row r="89" spans="1:140">
      <c r="A89" s="70" t="str">
        <f t="shared" si="0"/>
        <v>PhKr</v>
      </c>
      <c r="B89" s="71">
        <v>34</v>
      </c>
      <c r="C89" s="70" t="s">
        <v>90</v>
      </c>
      <c r="D89" s="70" t="s">
        <v>82</v>
      </c>
      <c r="E89" s="70" t="s">
        <v>77</v>
      </c>
      <c r="F89" s="3"/>
      <c r="G89" s="72">
        <v>10000</v>
      </c>
      <c r="H89" s="73">
        <v>7225</v>
      </c>
      <c r="I89" s="73">
        <v>1164</v>
      </c>
      <c r="J89" s="73">
        <v>931</v>
      </c>
      <c r="K89" s="73">
        <v>680</v>
      </c>
      <c r="L89" s="73">
        <f>324*8</f>
        <v>2592</v>
      </c>
      <c r="M89" s="123"/>
      <c r="N89" s="75">
        <f t="shared" si="835"/>
        <v>0.25919999999999999</v>
      </c>
      <c r="O89" s="124">
        <f t="shared" si="836"/>
        <v>3987.6923076923081</v>
      </c>
      <c r="P89" s="124">
        <f t="shared" si="837"/>
        <v>3190.1538461538466</v>
      </c>
      <c r="Q89" s="124">
        <f t="shared" si="838"/>
        <v>1595.0769230769233</v>
      </c>
      <c r="R89" s="124">
        <f t="shared" si="839"/>
        <v>1276.0615384615387</v>
      </c>
      <c r="S89" s="72">
        <f t="shared" si="4"/>
        <v>4785.2307692307695</v>
      </c>
      <c r="T89" s="3"/>
      <c r="U89" s="77">
        <f t="shared" si="927"/>
        <v>2592</v>
      </c>
      <c r="V89" s="78">
        <f t="shared" si="841"/>
        <v>0.25919999999999999</v>
      </c>
      <c r="W89" s="111">
        <f t="shared" si="842"/>
        <v>1.296</v>
      </c>
      <c r="X89" s="3"/>
      <c r="Y89" s="79">
        <v>5</v>
      </c>
      <c r="Z89" s="77">
        <f t="shared" si="843"/>
        <v>12960</v>
      </c>
      <c r="AA89" s="77">
        <f t="shared" si="844"/>
        <v>10368</v>
      </c>
      <c r="AB89" s="77">
        <f t="shared" si="845"/>
        <v>14555.076923076924</v>
      </c>
      <c r="AC89" s="77">
        <f t="shared" si="846"/>
        <v>12371.815384615385</v>
      </c>
      <c r="AD89" s="77">
        <f t="shared" si="847"/>
        <v>10368</v>
      </c>
      <c r="AE89" s="77">
        <f t="shared" si="848"/>
        <v>332.30769230769232</v>
      </c>
      <c r="AF89" s="77">
        <f t="shared" si="849"/>
        <v>10035.692307692309</v>
      </c>
      <c r="AG89" s="3"/>
      <c r="AH89" s="77">
        <f t="shared" si="850"/>
        <v>2592</v>
      </c>
      <c r="AI89" s="73">
        <f>324*8</f>
        <v>2592</v>
      </c>
      <c r="AJ89" s="77">
        <f>1080*8</f>
        <v>8640</v>
      </c>
      <c r="AK89" s="77">
        <f t="shared" si="853"/>
        <v>13824</v>
      </c>
      <c r="AL89" s="77">
        <f>4860*8</f>
        <v>38880</v>
      </c>
      <c r="AM89" s="80">
        <f t="shared" si="854"/>
        <v>0.35555555555555557</v>
      </c>
      <c r="AN89" s="32"/>
      <c r="AO89" s="72">
        <v>200</v>
      </c>
      <c r="AP89" s="81">
        <f>10.5*8</f>
        <v>84</v>
      </c>
      <c r="AQ89" s="82">
        <f t="shared" si="856"/>
        <v>284</v>
      </c>
      <c r="AR89" s="3"/>
      <c r="AS89" s="82">
        <v>8</v>
      </c>
      <c r="AT89" s="3"/>
      <c r="AU89" s="77">
        <v>41</v>
      </c>
      <c r="AV89" s="77">
        <v>78</v>
      </c>
      <c r="AW89" s="77">
        <v>121</v>
      </c>
      <c r="AX89" s="83">
        <f t="shared" si="857"/>
        <v>252.8780487804878</v>
      </c>
      <c r="AY89" s="83">
        <f t="shared" si="858"/>
        <v>132.92307692307693</v>
      </c>
      <c r="AZ89" s="83">
        <f t="shared" si="859"/>
        <v>10.25</v>
      </c>
      <c r="BA89" s="83">
        <f t="shared" si="860"/>
        <v>19.5</v>
      </c>
      <c r="BB89" s="3"/>
      <c r="BC89" s="77" t="s">
        <v>89</v>
      </c>
      <c r="BD89" s="77">
        <f t="shared" si="861"/>
        <v>2592</v>
      </c>
      <c r="BE89" s="77">
        <f t="shared" si="862"/>
        <v>11015.753846153846</v>
      </c>
      <c r="BF89" s="77" t="e" vm="1">
        <f>'[1]4 - Flächen'!AJ89</f>
        <v>#VALUE!</v>
      </c>
      <c r="BG89" s="77" t="e" vm="2">
        <f t="shared" si="863"/>
        <v>#VALUE!</v>
      </c>
      <c r="BH89" s="77">
        <f t="shared" si="864"/>
        <v>1595.0769230769233</v>
      </c>
      <c r="BI89" s="77" t="e" vm="2">
        <f t="shared" si="865"/>
        <v>#VALUE!</v>
      </c>
      <c r="BJ89" s="77">
        <f t="shared" si="866"/>
        <v>148.92307692307693</v>
      </c>
      <c r="BK89" s="85">
        <v>0.18</v>
      </c>
      <c r="BL89" s="77">
        <f t="shared" si="867"/>
        <v>1866.24</v>
      </c>
      <c r="BM89" s="77">
        <f t="shared" si="868"/>
        <v>8301.046153846155</v>
      </c>
      <c r="BN89" s="77">
        <f t="shared" si="869"/>
        <v>5223.876923076923</v>
      </c>
      <c r="BO89" s="77">
        <f t="shared" si="870"/>
        <v>531.69230769230774</v>
      </c>
      <c r="BP89" s="77" cm="1">
        <f t="array" ref="BP89">BE89 - _xlfn.IFS(
    _xlfn.XOR(Y89 &lt; 2.5, Y89 = 2.5), 0.5 * AH89,
    _xlfn.XOR(Y89 &lt; 2.5, Y89 = 2.5) = FALSE, 0
)</f>
        <v>11015.753846153846</v>
      </c>
      <c r="BQ89" s="77">
        <f t="shared" si="871"/>
        <v>40</v>
      </c>
      <c r="BR89" s="77" t="e" vm="1">
        <f>'[1]4 - Flächen'!AI89</f>
        <v>#VALUE!</v>
      </c>
      <c r="BS89" s="26"/>
      <c r="BT89" s="77">
        <f t="shared" si="872"/>
        <v>5806.0800000000008</v>
      </c>
      <c r="BU89" s="77">
        <f t="shared" si="873"/>
        <v>59201.279999999999</v>
      </c>
      <c r="BV89" s="77">
        <f t="shared" si="874"/>
        <v>7576.6153846153857</v>
      </c>
      <c r="BW89" s="77">
        <f t="shared" si="875"/>
        <v>3721.8461538461543</v>
      </c>
      <c r="BX89" s="77"/>
      <c r="BY89" s="77">
        <f t="shared" ref="BY89:BY91" si="928">IF(Y89&gt;4,AS89,0)</f>
        <v>8</v>
      </c>
      <c r="BZ89" s="3"/>
      <c r="CA89" s="130">
        <f t="shared" si="877"/>
        <v>4172.4553846153849</v>
      </c>
      <c r="CB89" s="89">
        <v>15</v>
      </c>
      <c r="CC89" s="86">
        <f t="shared" si="878"/>
        <v>155535</v>
      </c>
      <c r="CD89" s="87">
        <f t="shared" si="879"/>
        <v>81.854343907714494</v>
      </c>
      <c r="CE89" s="88">
        <f t="shared" si="880"/>
        <v>0.18927558449729809</v>
      </c>
      <c r="CF89" s="86" t="e">
        <f t="shared" si="881"/>
        <v>#DIV/0!</v>
      </c>
      <c r="CG89" s="86">
        <f>0.4174193305*AC89</f>
        <v>5164.234894915754</v>
      </c>
      <c r="CH89" s="89">
        <v>30</v>
      </c>
      <c r="CI89" s="86">
        <f t="shared" si="883"/>
        <v>311055</v>
      </c>
      <c r="CJ89" s="87">
        <f t="shared" si="884"/>
        <v>163.70697548666186</v>
      </c>
      <c r="CK89" s="88">
        <f t="shared" si="885"/>
        <v>0.20578368436751535</v>
      </c>
      <c r="CL89" s="86" t="e">
        <f t="shared" si="886"/>
        <v>#DIV/0!</v>
      </c>
      <c r="CM89" s="125">
        <f>0.4538255052*AC89</f>
        <v>5614.6453671642093</v>
      </c>
      <c r="CN89" s="89">
        <v>70</v>
      </c>
      <c r="CO89" s="86">
        <f t="shared" si="888"/>
        <v>725775</v>
      </c>
      <c r="CP89" s="87">
        <f t="shared" si="889"/>
        <v>381.98065969718817</v>
      </c>
      <c r="CQ89" s="88">
        <f t="shared" si="890"/>
        <v>0.26759905392689037</v>
      </c>
      <c r="CR89" s="86" t="e">
        <f t="shared" si="891"/>
        <v>#DIV/0!</v>
      </c>
      <c r="CS89" s="86">
        <f>0.5901501677*AC89</f>
        <v>7301.2289239842094</v>
      </c>
      <c r="CT89" s="90">
        <v>3.05</v>
      </c>
      <c r="CU89" s="3"/>
      <c r="CV89" s="86">
        <f t="shared" si="893"/>
        <v>130180.60799999999</v>
      </c>
      <c r="CW89" s="86">
        <v>15</v>
      </c>
      <c r="CX89" s="86">
        <f t="shared" si="894"/>
        <v>155535</v>
      </c>
      <c r="CY89" s="87">
        <f t="shared" si="895"/>
        <v>81.854343907714494</v>
      </c>
      <c r="CZ89" s="88">
        <f t="shared" si="896"/>
        <v>1.2424211529605753</v>
      </c>
      <c r="DA89" s="86" t="e">
        <f t="shared" si="897"/>
        <v>#DIV/0!</v>
      </c>
      <c r="DB89" s="72">
        <f>2.7399762481*AC89</f>
        <v>33898.480299724324</v>
      </c>
      <c r="DC89" s="89">
        <v>30</v>
      </c>
      <c r="DD89" s="86">
        <f t="shared" si="898"/>
        <v>311055</v>
      </c>
      <c r="DE89" s="87">
        <f t="shared" si="899"/>
        <v>163.70697548666186</v>
      </c>
      <c r="DF89" s="88">
        <f t="shared" si="900"/>
        <v>1.2707377647598694</v>
      </c>
      <c r="DG89" s="86" t="e">
        <f t="shared" si="901"/>
        <v>#DIV/0!</v>
      </c>
      <c r="DH89" s="86">
        <f>2.8024243508*AC89</f>
        <v>34671.076697448225</v>
      </c>
      <c r="DI89" s="89">
        <v>70</v>
      </c>
      <c r="DJ89" s="86">
        <f t="shared" si="902"/>
        <v>725775</v>
      </c>
      <c r="DK89" s="87">
        <f t="shared" si="903"/>
        <v>381.98065969718817</v>
      </c>
      <c r="DL89" s="88">
        <f t="shared" si="904"/>
        <v>1.3642284098422597</v>
      </c>
      <c r="DM89" s="86" t="e">
        <f t="shared" si="905"/>
        <v>#DIV/0!</v>
      </c>
      <c r="DN89" s="86">
        <f>3.0086041525*AC89</f>
        <v>37221.895140117231</v>
      </c>
      <c r="DO89" s="90">
        <v>3.9</v>
      </c>
      <c r="DP89" s="7"/>
      <c r="DQ89" s="86">
        <f t="shared" si="906"/>
        <v>130180.60799999999</v>
      </c>
      <c r="DR89" s="86">
        <v>15</v>
      </c>
      <c r="DS89" s="86">
        <f t="shared" si="907"/>
        <v>155535</v>
      </c>
      <c r="DT89" s="87">
        <f t="shared" si="908"/>
        <v>81.854343907714494</v>
      </c>
      <c r="DU89" s="88">
        <f t="shared" si="909"/>
        <v>0.10498936545202185</v>
      </c>
      <c r="DV89" s="86">
        <f t="shared" si="910"/>
        <v>90.949271008571657</v>
      </c>
      <c r="DW89" s="86">
        <f>0.4377345347*AC89</f>
        <v>5415.5708507789177</v>
      </c>
      <c r="DX89" s="89">
        <v>30</v>
      </c>
      <c r="DY89" s="86">
        <f t="shared" si="911"/>
        <v>311055</v>
      </c>
      <c r="DZ89" s="87">
        <f t="shared" si="912"/>
        <v>163.70697548666186</v>
      </c>
      <c r="EA89" s="88">
        <f t="shared" si="913"/>
        <v>0.11572648944971974</v>
      </c>
      <c r="EB89" s="86">
        <f t="shared" si="914"/>
        <v>181.89663942962429</v>
      </c>
      <c r="EC89" s="86">
        <f>0.4825010685*AC89</f>
        <v>5969.414142361662</v>
      </c>
      <c r="ED89" s="89">
        <v>70</v>
      </c>
      <c r="EE89" s="86">
        <f t="shared" si="915"/>
        <v>725775</v>
      </c>
      <c r="EF89" s="87">
        <f t="shared" si="916"/>
        <v>381.98065969718817</v>
      </c>
      <c r="EG89" s="88">
        <f t="shared" si="917"/>
        <v>0.15800815215290825</v>
      </c>
      <c r="EH89" s="86">
        <f t="shared" si="918"/>
        <v>424.42295521909796</v>
      </c>
      <c r="EI89" s="86">
        <f>0.6587869606*AC89</f>
        <v>8150.3906543350895</v>
      </c>
      <c r="EJ89" s="90">
        <v>3.9</v>
      </c>
    </row>
    <row r="90" spans="1:140">
      <c r="A90" s="70" t="str">
        <f t="shared" si="0"/>
        <v>PhKu</v>
      </c>
      <c r="B90" s="71">
        <v>35</v>
      </c>
      <c r="C90" s="70" t="s">
        <v>90</v>
      </c>
      <c r="D90" s="70" t="s">
        <v>82</v>
      </c>
      <c r="E90" s="70" t="s">
        <v>79</v>
      </c>
      <c r="F90" s="3"/>
      <c r="G90" s="72">
        <v>10000</v>
      </c>
      <c r="H90" s="73">
        <v>8500</v>
      </c>
      <c r="I90" s="73">
        <v>600</v>
      </c>
      <c r="J90" s="73">
        <v>560</v>
      </c>
      <c r="K90" s="73">
        <v>340</v>
      </c>
      <c r="L90" s="73">
        <f>324*6</f>
        <v>1944</v>
      </c>
      <c r="M90" s="183"/>
      <c r="N90" s="75">
        <f t="shared" si="835"/>
        <v>0.19439999999999999</v>
      </c>
      <c r="O90" s="124">
        <f t="shared" si="836"/>
        <v>2990.7692307692309</v>
      </c>
      <c r="P90" s="124">
        <f t="shared" si="837"/>
        <v>2392.6153846153848</v>
      </c>
      <c r="Q90" s="124">
        <f t="shared" si="838"/>
        <v>1196.3076923076924</v>
      </c>
      <c r="R90" s="124">
        <f t="shared" si="839"/>
        <v>957.04615384615397</v>
      </c>
      <c r="S90" s="72">
        <f t="shared" si="4"/>
        <v>3588.9230769230771</v>
      </c>
      <c r="T90" s="3"/>
      <c r="U90" s="77">
        <f t="shared" si="927"/>
        <v>1944</v>
      </c>
      <c r="V90" s="78">
        <f t="shared" si="841"/>
        <v>0.19439999999999999</v>
      </c>
      <c r="W90" s="111">
        <f t="shared" si="842"/>
        <v>0.97199999999999998</v>
      </c>
      <c r="X90" s="3"/>
      <c r="Y90" s="79">
        <v>5</v>
      </c>
      <c r="Z90" s="77">
        <f t="shared" si="843"/>
        <v>9720</v>
      </c>
      <c r="AA90" s="77">
        <f t="shared" si="844"/>
        <v>7776</v>
      </c>
      <c r="AB90" s="77">
        <f t="shared" si="845"/>
        <v>10916.307692307691</v>
      </c>
      <c r="AC90" s="77">
        <f t="shared" si="846"/>
        <v>9278.8615384615368</v>
      </c>
      <c r="AD90" s="77">
        <f t="shared" si="847"/>
        <v>7776</v>
      </c>
      <c r="AE90" s="77">
        <f t="shared" si="848"/>
        <v>249.23076923076923</v>
      </c>
      <c r="AF90" s="77">
        <f t="shared" si="849"/>
        <v>7526.7692307692305</v>
      </c>
      <c r="AG90" s="3"/>
      <c r="AH90" s="77">
        <f t="shared" si="850"/>
        <v>1944</v>
      </c>
      <c r="AI90" s="73">
        <f>324*6</f>
        <v>1944</v>
      </c>
      <c r="AJ90" s="77">
        <f>1080*6</f>
        <v>6480</v>
      </c>
      <c r="AK90" s="77">
        <f t="shared" si="853"/>
        <v>10368</v>
      </c>
      <c r="AL90" s="77">
        <f>4860*6</f>
        <v>29160</v>
      </c>
      <c r="AM90" s="80">
        <f t="shared" si="854"/>
        <v>0.35555555555555557</v>
      </c>
      <c r="AN90" s="32"/>
      <c r="AO90" s="72">
        <v>100</v>
      </c>
      <c r="AP90" s="116">
        <f>10.5*6</f>
        <v>63</v>
      </c>
      <c r="AQ90" s="82">
        <f t="shared" si="856"/>
        <v>163</v>
      </c>
      <c r="AR90" s="3"/>
      <c r="AS90" s="82">
        <v>6</v>
      </c>
      <c r="AT90" s="3"/>
      <c r="AU90" s="77">
        <v>41</v>
      </c>
      <c r="AV90" s="77">
        <v>78</v>
      </c>
      <c r="AW90" s="77">
        <v>121</v>
      </c>
      <c r="AX90" s="83">
        <f t="shared" si="857"/>
        <v>189.65853658536585</v>
      </c>
      <c r="AY90" s="83">
        <f t="shared" si="858"/>
        <v>99.692307692307693</v>
      </c>
      <c r="AZ90" s="83">
        <f t="shared" si="859"/>
        <v>10.25</v>
      </c>
      <c r="BA90" s="83">
        <f t="shared" si="860"/>
        <v>19.5</v>
      </c>
      <c r="BB90" s="3"/>
      <c r="BC90" s="77" t="s">
        <v>89</v>
      </c>
      <c r="BD90" s="77">
        <f t="shared" si="861"/>
        <v>1944</v>
      </c>
      <c r="BE90" s="77">
        <f t="shared" si="862"/>
        <v>8261.8153846153837</v>
      </c>
      <c r="BF90" s="77" t="e" vm="1">
        <f>'[1]4 - Flächen'!AJ90</f>
        <v>#VALUE!</v>
      </c>
      <c r="BG90" s="77" t="e" vm="2">
        <f t="shared" si="863"/>
        <v>#VALUE!</v>
      </c>
      <c r="BH90" s="77">
        <f t="shared" si="864"/>
        <v>1196.3076923076924</v>
      </c>
      <c r="BI90" s="77" t="e" vm="2">
        <f t="shared" si="865"/>
        <v>#VALUE!</v>
      </c>
      <c r="BJ90" s="77">
        <f t="shared" si="866"/>
        <v>111.69230769230769</v>
      </c>
      <c r="BK90" s="85">
        <v>0.18</v>
      </c>
      <c r="BL90" s="77">
        <f t="shared" si="867"/>
        <v>1399.6799999999998</v>
      </c>
      <c r="BM90" s="77">
        <f t="shared" si="868"/>
        <v>6225.7846153846158</v>
      </c>
      <c r="BN90" s="77">
        <f t="shared" si="869"/>
        <v>3917.9076923076923</v>
      </c>
      <c r="BO90" s="77">
        <f t="shared" si="870"/>
        <v>398.76923076923077</v>
      </c>
      <c r="BP90" s="77" cm="1">
        <f t="array" ref="BP90">BE90 - _xlfn.IFS(
    _xlfn.XOR(Y90 &lt; 2.5, Y90 = 2.5), 0.5 * AH90,
    _xlfn.XOR(Y90 &lt; 2.5, Y90 = 2.5) = FALSE, 0
)</f>
        <v>8261.8153846153837</v>
      </c>
      <c r="BQ90" s="77">
        <f t="shared" si="871"/>
        <v>30</v>
      </c>
      <c r="BR90" s="77" t="e" vm="1">
        <f>'[1]4 - Flächen'!AI90</f>
        <v>#VALUE!</v>
      </c>
      <c r="BS90" s="26"/>
      <c r="BT90" s="77">
        <f t="shared" si="872"/>
        <v>4354.5600000000004</v>
      </c>
      <c r="BU90" s="77">
        <f t="shared" si="873"/>
        <v>44400.959999999999</v>
      </c>
      <c r="BV90" s="77">
        <f t="shared" si="874"/>
        <v>5682.4615384615381</v>
      </c>
      <c r="BW90" s="77">
        <f t="shared" si="875"/>
        <v>2791.3846153846152</v>
      </c>
      <c r="BX90" s="77"/>
      <c r="BY90" s="77">
        <f t="shared" si="928"/>
        <v>6</v>
      </c>
      <c r="BZ90" s="3"/>
      <c r="CA90" s="130">
        <f t="shared" si="877"/>
        <v>3129.3415384615387</v>
      </c>
      <c r="CB90" s="89">
        <v>15</v>
      </c>
      <c r="CC90" s="86">
        <f t="shared" si="878"/>
        <v>116655</v>
      </c>
      <c r="CD90" s="87">
        <f t="shared" si="879"/>
        <v>61.391186012977656</v>
      </c>
      <c r="CE90" s="88">
        <f t="shared" si="880"/>
        <v>0.18584134568018651</v>
      </c>
      <c r="CF90" s="86" t="e">
        <f t="shared" si="881"/>
        <v>#DIV/0!</v>
      </c>
      <c r="CG90" s="86">
        <f>0.4098456243*AC90</f>
        <v>3802.9008000240269</v>
      </c>
      <c r="CH90" s="89">
        <v>30</v>
      </c>
      <c r="CI90" s="86">
        <f t="shared" si="883"/>
        <v>233295</v>
      </c>
      <c r="CJ90" s="87">
        <f t="shared" si="884"/>
        <v>122.78065969718818</v>
      </c>
      <c r="CK90" s="88">
        <f t="shared" si="885"/>
        <v>0.20108697651053653</v>
      </c>
      <c r="CL90" s="86" t="e">
        <f t="shared" si="886"/>
        <v>#DIV/0!</v>
      </c>
      <c r="CM90" s="125">
        <f>0.4434676101*AC90</f>
        <v>4114.8745509103474</v>
      </c>
      <c r="CN90" s="89">
        <v>70</v>
      </c>
      <c r="CO90" s="86">
        <f t="shared" si="888"/>
        <v>544335</v>
      </c>
      <c r="CP90" s="87">
        <f t="shared" si="889"/>
        <v>286.48592285508289</v>
      </c>
      <c r="CQ90" s="88">
        <f t="shared" si="890"/>
        <v>0.25439683827472881</v>
      </c>
      <c r="CR90" s="86" t="e">
        <f t="shared" si="891"/>
        <v>#DIV/0!</v>
      </c>
      <c r="CS90" s="86">
        <f>0.5610346321*AC90</f>
        <v>5205.7626695376084</v>
      </c>
      <c r="CT90" s="90">
        <v>3.05</v>
      </c>
      <c r="CU90" s="3"/>
      <c r="CV90" s="86">
        <f t="shared" si="893"/>
        <v>97635.456000000006</v>
      </c>
      <c r="CW90" s="86">
        <v>15</v>
      </c>
      <c r="CX90" s="86">
        <f t="shared" si="894"/>
        <v>116655</v>
      </c>
      <c r="CY90" s="87">
        <f t="shared" si="895"/>
        <v>61.391186012977656</v>
      </c>
      <c r="CZ90" s="88">
        <f t="shared" si="896"/>
        <v>1.2347579210082209</v>
      </c>
      <c r="DA90" s="86" t="e">
        <f t="shared" si="897"/>
        <v>#DIV/0!</v>
      </c>
      <c r="DB90" s="72">
        <f>2.7230761225*AC90</f>
        <v>25267.046299368227</v>
      </c>
      <c r="DC90" s="89">
        <v>30</v>
      </c>
      <c r="DD90" s="86">
        <f t="shared" si="898"/>
        <v>233295</v>
      </c>
      <c r="DE90" s="87">
        <f t="shared" si="899"/>
        <v>122.78065969718818</v>
      </c>
      <c r="DF90" s="88">
        <f t="shared" si="900"/>
        <v>1.261808293304171</v>
      </c>
      <c r="DG90" s="86" t="e">
        <f t="shared" si="901"/>
        <v>#DIV/0!</v>
      </c>
      <c r="DH90" s="86">
        <f>2.7827317211*AC90</f>
        <v>25820.58233877167</v>
      </c>
      <c r="DI90" s="89">
        <v>70</v>
      </c>
      <c r="DJ90" s="86">
        <f t="shared" si="902"/>
        <v>544335</v>
      </c>
      <c r="DK90" s="87">
        <f t="shared" si="903"/>
        <v>286.48592285508289</v>
      </c>
      <c r="DL90" s="88">
        <f t="shared" si="904"/>
        <v>1.341021081039492</v>
      </c>
      <c r="DM90" s="86" t="e">
        <f t="shared" si="905"/>
        <v>#DIV/0!</v>
      </c>
      <c r="DN90" s="86">
        <f>2.9574238184*AC90</f>
        <v>27441.526121481817</v>
      </c>
      <c r="DO90" s="90">
        <v>3.9</v>
      </c>
      <c r="DP90" s="7"/>
      <c r="DQ90" s="86">
        <f t="shared" si="906"/>
        <v>97635.456000000006</v>
      </c>
      <c r="DR90" s="86">
        <v>15</v>
      </c>
      <c r="DS90" s="86">
        <f t="shared" si="907"/>
        <v>116655</v>
      </c>
      <c r="DT90" s="87">
        <f t="shared" si="908"/>
        <v>61.391186012977656</v>
      </c>
      <c r="DU90" s="88">
        <f t="shared" si="909"/>
        <v>0.10276539847280276</v>
      </c>
      <c r="DV90" s="86">
        <f t="shared" si="910"/>
        <v>68.212428903308506</v>
      </c>
      <c r="DW90" s="86">
        <f>0.4284620989*AC90</f>
        <v>3975.6404901717128</v>
      </c>
      <c r="DX90" s="89">
        <v>30</v>
      </c>
      <c r="DY90" s="86">
        <f t="shared" si="911"/>
        <v>233295</v>
      </c>
      <c r="DZ90" s="87">
        <f t="shared" si="912"/>
        <v>122.78065969718818</v>
      </c>
      <c r="EA90" s="88">
        <f t="shared" si="913"/>
        <v>0.11130448454744565</v>
      </c>
      <c r="EB90" s="86">
        <f t="shared" si="914"/>
        <v>136.42295521909799</v>
      </c>
      <c r="EC90" s="86">
        <f>0.4640643035*AC90</f>
        <v>4305.9884171190915</v>
      </c>
      <c r="ED90" s="89">
        <v>70</v>
      </c>
      <c r="EE90" s="86">
        <f t="shared" si="915"/>
        <v>544335</v>
      </c>
      <c r="EF90" s="87">
        <f t="shared" si="916"/>
        <v>286.48592285508289</v>
      </c>
      <c r="EG90" s="88">
        <f t="shared" si="917"/>
        <v>0.14930243299040852</v>
      </c>
      <c r="EH90" s="86">
        <f t="shared" si="918"/>
        <v>318.31769206120322</v>
      </c>
      <c r="EI90" s="86">
        <f>0.6224900089*AC90</f>
        <v>5775.9986016587891</v>
      </c>
      <c r="EJ90" s="90">
        <v>3.9</v>
      </c>
    </row>
    <row r="91" spans="1:140">
      <c r="A91" s="70" t="str">
        <f t="shared" si="0"/>
        <v>PhWe</v>
      </c>
      <c r="B91" s="71">
        <v>36</v>
      </c>
      <c r="C91" s="70" t="s">
        <v>90</v>
      </c>
      <c r="D91" s="70" t="s">
        <v>82</v>
      </c>
      <c r="E91" s="70" t="s">
        <v>80</v>
      </c>
      <c r="F91" s="3"/>
      <c r="G91" s="72">
        <v>10000</v>
      </c>
      <c r="H91" s="72">
        <v>8493</v>
      </c>
      <c r="I91" s="72">
        <v>764</v>
      </c>
      <c r="J91" s="72">
        <v>423</v>
      </c>
      <c r="K91" s="72">
        <v>320</v>
      </c>
      <c r="L91" s="73">
        <f>324*5</f>
        <v>1620</v>
      </c>
      <c r="M91" s="184"/>
      <c r="N91" s="91">
        <f t="shared" si="835"/>
        <v>0.16200000000000001</v>
      </c>
      <c r="O91" s="124">
        <f t="shared" si="836"/>
        <v>2492.3076923076924</v>
      </c>
      <c r="P91" s="124">
        <f t="shared" si="837"/>
        <v>1993.846153846154</v>
      </c>
      <c r="Q91" s="124">
        <f t="shared" si="838"/>
        <v>996.92307692307691</v>
      </c>
      <c r="R91" s="124">
        <f t="shared" si="839"/>
        <v>797.53846153846155</v>
      </c>
      <c r="S91" s="72">
        <f t="shared" si="4"/>
        <v>2990.7692307692305</v>
      </c>
      <c r="T91" s="3"/>
      <c r="U91" s="77">
        <f t="shared" si="927"/>
        <v>1620</v>
      </c>
      <c r="V91" s="78">
        <f t="shared" si="841"/>
        <v>0.16200000000000001</v>
      </c>
      <c r="W91" s="111">
        <f t="shared" si="842"/>
        <v>0.81</v>
      </c>
      <c r="X91" s="3"/>
      <c r="Y91" s="79">
        <v>5</v>
      </c>
      <c r="Z91" s="77">
        <f t="shared" si="843"/>
        <v>8100</v>
      </c>
      <c r="AA91" s="77">
        <f t="shared" si="844"/>
        <v>6480</v>
      </c>
      <c r="AB91" s="77">
        <f t="shared" si="845"/>
        <v>9096.9230769230762</v>
      </c>
      <c r="AC91" s="77">
        <f t="shared" si="846"/>
        <v>7732.3846153846143</v>
      </c>
      <c r="AD91" s="77">
        <f t="shared" si="847"/>
        <v>6480</v>
      </c>
      <c r="AE91" s="77">
        <f t="shared" si="848"/>
        <v>207.69230769230771</v>
      </c>
      <c r="AF91" s="77">
        <f t="shared" si="849"/>
        <v>6272.3076923076924</v>
      </c>
      <c r="AG91" s="3"/>
      <c r="AH91" s="77">
        <f t="shared" si="850"/>
        <v>1620</v>
      </c>
      <c r="AI91" s="73">
        <f>324*5</f>
        <v>1620</v>
      </c>
      <c r="AJ91" s="77">
        <f>1080*5</f>
        <v>5400</v>
      </c>
      <c r="AK91" s="77">
        <f t="shared" si="853"/>
        <v>8640</v>
      </c>
      <c r="AL91" s="77">
        <f>4860*5</f>
        <v>24300</v>
      </c>
      <c r="AM91" s="80">
        <f t="shared" si="854"/>
        <v>0.35555555555555557</v>
      </c>
      <c r="AN91" s="32"/>
      <c r="AO91" s="72">
        <v>90</v>
      </c>
      <c r="AP91" s="81">
        <f>10.5*5</f>
        <v>52.5</v>
      </c>
      <c r="AQ91" s="82">
        <f t="shared" si="856"/>
        <v>142.5</v>
      </c>
      <c r="AR91" s="3"/>
      <c r="AS91" s="82">
        <v>5</v>
      </c>
      <c r="AT91" s="3"/>
      <c r="AU91" s="77">
        <v>41</v>
      </c>
      <c r="AV91" s="77">
        <v>78</v>
      </c>
      <c r="AW91" s="77">
        <v>121</v>
      </c>
      <c r="AX91" s="83">
        <f t="shared" si="857"/>
        <v>158.04878048780489</v>
      </c>
      <c r="AY91" s="83">
        <f t="shared" si="858"/>
        <v>83.07692307692308</v>
      </c>
      <c r="AZ91" s="83">
        <f t="shared" si="859"/>
        <v>10.25</v>
      </c>
      <c r="BA91" s="83">
        <f t="shared" si="860"/>
        <v>19.5</v>
      </c>
      <c r="BB91" s="3"/>
      <c r="BC91" s="77" t="s">
        <v>89</v>
      </c>
      <c r="BD91" s="77">
        <f t="shared" si="861"/>
        <v>1620</v>
      </c>
      <c r="BE91" s="77">
        <f t="shared" si="862"/>
        <v>6884.8461538461524</v>
      </c>
      <c r="BF91" s="77" t="e" vm="1">
        <f>'[1]4 - Flächen'!AJ91</f>
        <v>#VALUE!</v>
      </c>
      <c r="BG91" s="77" t="e" vm="2">
        <f t="shared" si="863"/>
        <v>#VALUE!</v>
      </c>
      <c r="BH91" s="77">
        <f t="shared" si="864"/>
        <v>996.92307692307691</v>
      </c>
      <c r="BI91" s="77" t="e" vm="2">
        <f t="shared" si="865"/>
        <v>#VALUE!</v>
      </c>
      <c r="BJ91" s="77">
        <f t="shared" si="866"/>
        <v>93.07692307692308</v>
      </c>
      <c r="BK91" s="85">
        <v>0.18</v>
      </c>
      <c r="BL91" s="77">
        <f t="shared" si="867"/>
        <v>1166.3999999999999</v>
      </c>
      <c r="BM91" s="77">
        <f t="shared" si="868"/>
        <v>5188.1538461538466</v>
      </c>
      <c r="BN91" s="77">
        <f t="shared" si="869"/>
        <v>3264.9230769230767</v>
      </c>
      <c r="BO91" s="77">
        <f t="shared" si="870"/>
        <v>332.30769230769232</v>
      </c>
      <c r="BP91" s="77" cm="1">
        <f t="array" ref="BP91">BE91 - _xlfn.IFS(
    _xlfn.XOR(Y91 &lt; 2.5, Y91 = 2.5), 0.5 * AH91,
    _xlfn.XOR(Y91 &lt; 2.5, Y91 = 2.5) = FALSE, 0
)</f>
        <v>6884.8461538461524</v>
      </c>
      <c r="BQ91" s="77">
        <f t="shared" si="871"/>
        <v>25</v>
      </c>
      <c r="BR91" s="77" t="e" vm="1">
        <f>'[1]4 - Flächen'!AI91</f>
        <v>#VALUE!</v>
      </c>
      <c r="BS91" s="26"/>
      <c r="BT91" s="77">
        <f t="shared" si="872"/>
        <v>3628.8</v>
      </c>
      <c r="BU91" s="77">
        <f t="shared" si="873"/>
        <v>37000.800000000003</v>
      </c>
      <c r="BV91" s="77">
        <f t="shared" si="874"/>
        <v>4735.3846153846152</v>
      </c>
      <c r="BW91" s="77">
        <f t="shared" si="875"/>
        <v>2326.1538461538462</v>
      </c>
      <c r="BX91" s="77"/>
      <c r="BY91" s="77">
        <f t="shared" si="928"/>
        <v>5</v>
      </c>
      <c r="BZ91" s="3"/>
      <c r="CA91" s="130">
        <f t="shared" si="877"/>
        <v>2607.7846153846153</v>
      </c>
      <c r="CB91" s="89">
        <v>15</v>
      </c>
      <c r="CC91" s="86">
        <f t="shared" si="878"/>
        <v>97215</v>
      </c>
      <c r="CD91" s="87">
        <f t="shared" si="879"/>
        <v>51.159607065609229</v>
      </c>
      <c r="CE91" s="88">
        <f t="shared" si="880"/>
        <v>0.18821426595662885</v>
      </c>
      <c r="CF91" s="86" t="e">
        <f t="shared" si="881"/>
        <v>#DIV/0!</v>
      </c>
      <c r="CG91" s="86">
        <f>0.4150787493*AC91</f>
        <v>3209.5485352604073</v>
      </c>
      <c r="CH91" s="89">
        <v>30</v>
      </c>
      <c r="CI91" s="86">
        <f t="shared" si="883"/>
        <v>194415</v>
      </c>
      <c r="CJ91" s="87">
        <f t="shared" si="884"/>
        <v>102.31750180245133</v>
      </c>
      <c r="CK91" s="88">
        <f t="shared" si="885"/>
        <v>0.21758291192930959</v>
      </c>
      <c r="CL91" s="86" t="e">
        <f t="shared" si="886"/>
        <v>#DIV/0!</v>
      </c>
      <c r="CM91" s="125">
        <f>0.4798469579*AC91</f>
        <v>3710.3612350050685</v>
      </c>
      <c r="CN91" s="89">
        <v>70</v>
      </c>
      <c r="CO91" s="86">
        <f t="shared" si="888"/>
        <v>453615</v>
      </c>
      <c r="CP91" s="87">
        <f t="shared" si="889"/>
        <v>238.73855443403028</v>
      </c>
      <c r="CQ91" s="88">
        <f t="shared" si="890"/>
        <v>0.27241669802142687</v>
      </c>
      <c r="CR91" s="86" t="e">
        <f t="shared" si="891"/>
        <v>#DIV/0!</v>
      </c>
      <c r="CS91" s="86">
        <f>0.6007747698*AC91</f>
        <v>4645.4215873127532</v>
      </c>
      <c r="CT91" s="90">
        <v>3.05</v>
      </c>
      <c r="CU91" s="3"/>
      <c r="CV91" s="86">
        <f t="shared" si="893"/>
        <v>81362.880000000005</v>
      </c>
      <c r="CW91" s="86">
        <v>15</v>
      </c>
      <c r="CX91" s="86">
        <f t="shared" si="894"/>
        <v>97215</v>
      </c>
      <c r="CY91" s="87">
        <f t="shared" si="895"/>
        <v>51.159607065609229</v>
      </c>
      <c r="CZ91" s="88">
        <f t="shared" si="896"/>
        <v>1.2378987156788268</v>
      </c>
      <c r="DA91" s="86" t="e">
        <f t="shared" si="897"/>
        <v>#DIV/0!</v>
      </c>
      <c r="DB91" s="72">
        <f>2.730002681*AC91</f>
        <v>21109.430730523152</v>
      </c>
      <c r="DC91" s="89">
        <v>30</v>
      </c>
      <c r="DD91" s="86">
        <f t="shared" si="898"/>
        <v>194415</v>
      </c>
      <c r="DE91" s="87">
        <f t="shared" si="899"/>
        <v>102.31750180245133</v>
      </c>
      <c r="DF91" s="88">
        <f t="shared" si="900"/>
        <v>1.2802091176388863</v>
      </c>
      <c r="DG91" s="86" t="e">
        <f t="shared" si="901"/>
        <v>#DIV/0!</v>
      </c>
      <c r="DH91" s="86">
        <f>2.8233120199*AC91</f>
        <v>21830.934427105218</v>
      </c>
      <c r="DI91" s="89">
        <v>70</v>
      </c>
      <c r="DJ91" s="86">
        <f t="shared" si="902"/>
        <v>453615</v>
      </c>
      <c r="DK91" s="87">
        <f t="shared" si="903"/>
        <v>238.73855443403028</v>
      </c>
      <c r="DL91" s="88">
        <f t="shared" si="904"/>
        <v>1.3679382029197902</v>
      </c>
      <c r="DM91" s="86" t="e">
        <f t="shared" si="905"/>
        <v>#DIV/0!</v>
      </c>
      <c r="DN91" s="86">
        <f>3.0167855529*AC91</f>
        <v>23326.94619715853</v>
      </c>
      <c r="DO91" s="90">
        <v>3.9</v>
      </c>
      <c r="DP91" s="7"/>
      <c r="DQ91" s="86">
        <f t="shared" si="906"/>
        <v>81362.880000000005</v>
      </c>
      <c r="DR91" s="86">
        <v>15</v>
      </c>
      <c r="DS91" s="86">
        <f t="shared" si="907"/>
        <v>97215</v>
      </c>
      <c r="DT91" s="87">
        <f t="shared" si="908"/>
        <v>51.159607065609229</v>
      </c>
      <c r="DU91" s="88">
        <f t="shared" si="909"/>
        <v>0.10312180423475911</v>
      </c>
      <c r="DV91" s="86">
        <f t="shared" si="910"/>
        <v>56.844007850676917</v>
      </c>
      <c r="DW91" s="86">
        <f>0.4299480695*AC91</f>
        <v>3324.523838016115</v>
      </c>
      <c r="DX91" s="89">
        <v>30</v>
      </c>
      <c r="DY91" s="86">
        <f t="shared" si="911"/>
        <v>194415</v>
      </c>
      <c r="DZ91" s="87">
        <f t="shared" si="912"/>
        <v>102.31750180245133</v>
      </c>
      <c r="EA91" s="88">
        <f t="shared" si="913"/>
        <v>0.14284729851232961</v>
      </c>
      <c r="EB91" s="86">
        <f t="shared" si="914"/>
        <v>113.68611311383481</v>
      </c>
      <c r="EC91" s="86">
        <f>0.5955764708*AC91</f>
        <v>4605.2263400989841</v>
      </c>
      <c r="ED91" s="89">
        <v>70</v>
      </c>
      <c r="EE91" s="86">
        <f t="shared" si="915"/>
        <v>453615</v>
      </c>
      <c r="EF91" s="87">
        <f t="shared" si="916"/>
        <v>238.73855443403028</v>
      </c>
      <c r="EG91" s="88">
        <f t="shared" si="917"/>
        <v>0.16101188373845249</v>
      </c>
      <c r="EH91" s="86">
        <f t="shared" si="918"/>
        <v>265.26506048225588</v>
      </c>
      <c r="EI91" s="86">
        <f>0.6713104866*AC91</f>
        <v>5190.8308787321994</v>
      </c>
      <c r="EJ91" s="90">
        <v>3.9</v>
      </c>
    </row>
    <row r="92" spans="1:140">
      <c r="A92" s="20" t="str">
        <f t="shared" si="0"/>
        <v/>
      </c>
      <c r="B92" s="92"/>
      <c r="C92" s="20"/>
      <c r="D92" s="20"/>
      <c r="E92" s="20"/>
      <c r="F92" s="3"/>
      <c r="G92" s="93"/>
      <c r="H92" s="93"/>
      <c r="I92" s="93"/>
      <c r="J92" s="93"/>
      <c r="K92" s="93"/>
      <c r="L92" s="93"/>
      <c r="M92" s="94"/>
      <c r="N92" s="95"/>
      <c r="O92" s="93"/>
      <c r="P92" s="94"/>
      <c r="Q92" s="94"/>
      <c r="R92" s="94"/>
      <c r="S92" s="21">
        <f t="shared" si="4"/>
        <v>0</v>
      </c>
      <c r="T92" s="3"/>
      <c r="U92" s="34"/>
      <c r="V92" s="96"/>
      <c r="W92" s="96"/>
      <c r="X92" s="3"/>
      <c r="Y92" s="28"/>
      <c r="Z92" s="34"/>
      <c r="AA92" s="34"/>
      <c r="AB92" s="34"/>
      <c r="AC92" s="26">
        <f>Z92*(1-0.15)</f>
        <v>0</v>
      </c>
      <c r="AD92" s="34"/>
      <c r="AE92" s="34"/>
      <c r="AF92" s="34"/>
      <c r="AG92" s="3"/>
      <c r="AH92" s="34">
        <f t="shared" si="850"/>
        <v>0</v>
      </c>
      <c r="AI92" s="93"/>
      <c r="AJ92" s="34"/>
      <c r="AK92" s="34"/>
      <c r="AL92" s="34"/>
      <c r="AM92" s="117"/>
      <c r="AN92" s="28"/>
      <c r="AO92" s="93"/>
      <c r="AP92" s="98"/>
      <c r="AQ92" s="99"/>
      <c r="AR92" s="3"/>
      <c r="AS92" s="34"/>
      <c r="AT92" s="3"/>
      <c r="AU92" s="99"/>
      <c r="AV92" s="34"/>
      <c r="AW92" s="34"/>
      <c r="AX92" s="99"/>
      <c r="AY92" s="99"/>
      <c r="AZ92" s="11"/>
      <c r="BA92" s="3"/>
      <c r="BB92" s="3"/>
      <c r="BC92" s="11"/>
      <c r="BD92" s="11"/>
      <c r="BE92" s="11"/>
      <c r="BF92" s="11"/>
      <c r="BG92" s="11"/>
      <c r="BH92" s="11"/>
      <c r="BI92" s="11"/>
      <c r="BJ92" s="100">
        <f>AS92+AY92</f>
        <v>0</v>
      </c>
      <c r="BK92" s="10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3"/>
      <c r="CA92" s="3"/>
      <c r="CB92" s="7"/>
      <c r="CC92" s="3"/>
      <c r="CD92" s="3"/>
      <c r="CE92" s="3"/>
      <c r="CF92" s="3"/>
      <c r="CG92" s="3"/>
      <c r="CH92" s="7"/>
      <c r="CI92" s="3"/>
      <c r="CJ92" s="3"/>
      <c r="CK92" s="3"/>
      <c r="CL92" s="3"/>
      <c r="CM92" s="3"/>
      <c r="CN92" s="102"/>
      <c r="CO92" s="3"/>
      <c r="CP92" s="3"/>
      <c r="CQ92" s="3"/>
      <c r="CR92" s="103"/>
      <c r="CS92" s="103"/>
      <c r="CT92" s="103"/>
      <c r="CU92" s="3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102"/>
      <c r="DH92" s="102"/>
      <c r="DI92" s="102"/>
      <c r="DJ92" s="102"/>
      <c r="DK92" s="7"/>
      <c r="DL92" s="7"/>
      <c r="DM92" s="103"/>
      <c r="DN92" s="102"/>
      <c r="DO92" s="104"/>
      <c r="DP92" s="7"/>
      <c r="DQ92" s="3"/>
      <c r="DR92" s="7"/>
      <c r="DS92" s="3"/>
      <c r="DT92" s="3"/>
      <c r="DU92" s="3"/>
      <c r="DV92" s="3"/>
      <c r="DW92" s="102"/>
      <c r="DX92" s="7"/>
      <c r="DY92" s="3"/>
      <c r="DZ92" s="3"/>
      <c r="EA92" s="3"/>
      <c r="EB92" s="3"/>
      <c r="EC92" s="102"/>
      <c r="ED92" s="102"/>
      <c r="EE92" s="3"/>
      <c r="EF92" s="3"/>
      <c r="EG92" s="3"/>
      <c r="EH92" s="3"/>
      <c r="EI92" s="102"/>
      <c r="EJ92" s="7"/>
    </row>
    <row r="93" spans="1:140">
      <c r="A93" s="18" t="str">
        <f t="shared" si="0"/>
        <v>PgGi</v>
      </c>
      <c r="B93" s="19">
        <v>400</v>
      </c>
      <c r="C93" s="18" t="s">
        <v>90</v>
      </c>
      <c r="D93" s="18" t="s">
        <v>76</v>
      </c>
      <c r="E93" s="18" t="s">
        <v>83</v>
      </c>
      <c r="F93" s="3"/>
      <c r="G93" s="21">
        <v>60000</v>
      </c>
      <c r="H93" s="21">
        <f t="shared" ref="H93:L93" si="929">H83*6</f>
        <v>43350</v>
      </c>
      <c r="I93" s="21">
        <f t="shared" si="929"/>
        <v>6984</v>
      </c>
      <c r="J93" s="21">
        <f t="shared" si="929"/>
        <v>5586</v>
      </c>
      <c r="K93" s="21">
        <f t="shared" si="929"/>
        <v>4080</v>
      </c>
      <c r="L93" s="21">
        <f t="shared" si="929"/>
        <v>7776</v>
      </c>
      <c r="M93" s="118"/>
      <c r="N93" s="23">
        <f t="shared" ref="N93:N101" si="930">(L93+M93)/G93</f>
        <v>0.12959999999999999</v>
      </c>
      <c r="O93" s="21">
        <f t="shared" ref="O93:O101" si="931">30*AY93</f>
        <v>7177.8461538461552</v>
      </c>
      <c r="P93" s="21">
        <f t="shared" ref="P93:P101" si="932">O93*0.8</f>
        <v>5742.2769230769245</v>
      </c>
      <c r="Q93" s="21">
        <f t="shared" ref="Q93:Q101" si="933">AY93*12</f>
        <v>2871.1384615384618</v>
      </c>
      <c r="R93" s="21">
        <f t="shared" ref="R93:R101" si="934">Q93*0.8</f>
        <v>2296.9107692307693</v>
      </c>
      <c r="S93" s="21">
        <f t="shared" si="4"/>
        <v>8613.4153846153858</v>
      </c>
      <c r="T93" s="3"/>
      <c r="U93" s="26">
        <f t="shared" ref="U93:U101" si="935">L93+M93</f>
        <v>7776</v>
      </c>
      <c r="V93" s="27">
        <f t="shared" ref="V93:V101" si="936">U93/G93</f>
        <v>0.12959999999999999</v>
      </c>
      <c r="W93" s="108">
        <f t="shared" ref="W93:W101" si="937">Z93/G93</f>
        <v>0.38879999999999998</v>
      </c>
      <c r="X93" s="3"/>
      <c r="Y93" s="29">
        <v>3</v>
      </c>
      <c r="Z93" s="26">
        <f t="shared" ref="Z93:Z101" si="938">(L93*Y93)+M93</f>
        <v>23328</v>
      </c>
      <c r="AA93" s="26">
        <f t="shared" ref="AA93:AA101" si="939">Z93*0.8</f>
        <v>18662.400000000001</v>
      </c>
      <c r="AB93" s="26">
        <f t="shared" ref="AB93:AB101" si="940">(L93*Y93)+BH93</f>
        <v>26199.138461538463</v>
      </c>
      <c r="AC93" s="21">
        <f>AC83*6</f>
        <v>22269.267692307691</v>
      </c>
      <c r="AD93" s="26">
        <f t="shared" ref="AD93:AD101" si="941">((L93*Y93)*0.8)</f>
        <v>18662.400000000001</v>
      </c>
      <c r="AE93" s="26">
        <f t="shared" ref="AE93:AE101" si="942">2.5*AY93</f>
        <v>598.15384615384619</v>
      </c>
      <c r="AF93" s="26">
        <f t="shared" ref="AF93:AF101" si="943">AD93-AE93</f>
        <v>18064.246153846154</v>
      </c>
      <c r="AG93" s="3"/>
      <c r="AH93" s="26">
        <f t="shared" si="850"/>
        <v>7776</v>
      </c>
      <c r="AI93" s="26">
        <f t="shared" ref="AI93:AL93" si="944">AI83*6</f>
        <v>7776</v>
      </c>
      <c r="AJ93" s="26">
        <f t="shared" si="944"/>
        <v>20736</v>
      </c>
      <c r="AK93" s="26">
        <f t="shared" si="944"/>
        <v>36288</v>
      </c>
      <c r="AL93" s="26">
        <f t="shared" si="944"/>
        <v>69984</v>
      </c>
      <c r="AM93" s="31">
        <f t="shared" ref="AM93:AM101" si="945">AK93/AL93</f>
        <v>0.51851851851851849</v>
      </c>
      <c r="AN93" s="28"/>
      <c r="AO93" s="21">
        <f t="shared" ref="AO93:AP93" si="946">AO83*6</f>
        <v>1200</v>
      </c>
      <c r="AP93" s="33">
        <f t="shared" si="946"/>
        <v>348</v>
      </c>
      <c r="AQ93" s="26">
        <f t="shared" ref="AQ93:AQ101" si="947">AO93+AP93</f>
        <v>1548</v>
      </c>
      <c r="AR93" s="3"/>
      <c r="AS93" s="21">
        <f>AS83*6</f>
        <v>24</v>
      </c>
      <c r="AT93" s="3"/>
      <c r="AU93" s="26">
        <v>41</v>
      </c>
      <c r="AV93" s="26">
        <v>78</v>
      </c>
      <c r="AW93" s="26">
        <v>121</v>
      </c>
      <c r="AX93" s="35">
        <f>AX83*6</f>
        <v>455.180487804878</v>
      </c>
      <c r="AY93" s="35">
        <f t="shared" ref="AY93:AY101" si="948">AD93/AV93</f>
        <v>239.26153846153849</v>
      </c>
      <c r="AZ93" s="35">
        <f t="shared" ref="AZ93:AZ101" si="949">L93/AX93</f>
        <v>17.083333333333336</v>
      </c>
      <c r="BA93" s="35">
        <f t="shared" ref="BA93:BA101" si="950">L93/AY93</f>
        <v>32.499999999999993</v>
      </c>
      <c r="BB93" s="3"/>
      <c r="BC93" s="37" t="s">
        <v>89</v>
      </c>
      <c r="BD93" s="26">
        <f t="shared" ref="BD93:BD101" si="951">AH93</f>
        <v>7776</v>
      </c>
      <c r="BE93" s="21">
        <f t="shared" ref="BE93:BF93" si="952">BE83*6</f>
        <v>19828.356923076921</v>
      </c>
      <c r="BF93" s="21" t="e" vm="2">
        <f t="shared" si="952"/>
        <v>#VALUE!</v>
      </c>
      <c r="BG93" s="26" t="e" vm="2">
        <f t="shared" ref="BG93:BG101" si="953">BF93-BL93-((2.2*1.1)*BJ93)</f>
        <v>#VALUE!</v>
      </c>
      <c r="BH93" s="26">
        <f t="shared" ref="BH93:BH101" si="954">Q93</f>
        <v>2871.1384615384618</v>
      </c>
      <c r="BI93" s="21" t="e" vm="2">
        <f t="shared" ref="BI93:BJ93" si="955">BI83*6</f>
        <v>#VALUE!</v>
      </c>
      <c r="BJ93" s="21">
        <f t="shared" si="955"/>
        <v>287.26153846153846</v>
      </c>
      <c r="BK93" s="39">
        <v>0.18</v>
      </c>
      <c r="BL93" s="21">
        <f t="shared" ref="BL93:BR93" si="956">BL83*6</f>
        <v>3359.232</v>
      </c>
      <c r="BM93" s="21">
        <f t="shared" si="956"/>
        <v>14941.883076923079</v>
      </c>
      <c r="BN93" s="21">
        <f t="shared" si="956"/>
        <v>9402.9784615384615</v>
      </c>
      <c r="BO93" s="21">
        <f t="shared" si="956"/>
        <v>957.04615384615386</v>
      </c>
      <c r="BP93" s="21">
        <f t="shared" si="956"/>
        <v>19828.356923076921</v>
      </c>
      <c r="BQ93" s="21">
        <f t="shared" si="956"/>
        <v>72</v>
      </c>
      <c r="BR93" s="21" t="e" vm="2">
        <f t="shared" si="956"/>
        <v>#VALUE!</v>
      </c>
      <c r="BS93" s="26"/>
      <c r="BT93" s="21">
        <f t="shared" ref="BT93:BW93" si="957">BT83*6</f>
        <v>10450.944000000001</v>
      </c>
      <c r="BU93" s="21">
        <f t="shared" si="957"/>
        <v>106562.304</v>
      </c>
      <c r="BV93" s="21">
        <f t="shared" si="957"/>
        <v>13637.907692307694</v>
      </c>
      <c r="BW93" s="21">
        <f t="shared" si="957"/>
        <v>6699.3230769230777</v>
      </c>
      <c r="BX93" s="21"/>
      <c r="BY93" s="21">
        <f>BY83*6</f>
        <v>0</v>
      </c>
      <c r="BZ93" s="3"/>
      <c r="CA93" s="40">
        <f t="shared" ref="CA93:CA101" si="958">(34.4*365*$AD93)/1000</f>
        <v>234325.0944</v>
      </c>
      <c r="CB93" s="43">
        <v>15</v>
      </c>
      <c r="CC93" s="40">
        <f t="shared" ref="CC93:CC101" si="959">$AD93*CB93+($CB93)</f>
        <v>279951</v>
      </c>
      <c r="CD93" s="41">
        <f t="shared" ref="CD93:CD101" si="960">((CC93-$CB93)/1900)+($CB93/8760)</f>
        <v>147.33644917087238</v>
      </c>
      <c r="CE93" s="42">
        <f t="shared" ref="CE93:CE101" si="961">((380*$CG93)/1000)/$AD93</f>
        <v>0.19348390905199231</v>
      </c>
      <c r="CF93" s="40" t="e">
        <f t="shared" ref="CF93:CF101" si="962">$CD93/$CU93</f>
        <v>#DIV/0!</v>
      </c>
      <c r="CG93" s="21">
        <f>CG83*6</f>
        <v>9502.3002744523728</v>
      </c>
      <c r="CH93" s="43">
        <v>30</v>
      </c>
      <c r="CI93" s="40">
        <f t="shared" ref="CI93:CI101" si="963">$AD93*CH93+($CB93)</f>
        <v>559887</v>
      </c>
      <c r="CJ93" s="41">
        <f t="shared" ref="CJ93:CJ101" si="964">((CI93-$CB93)/1900)+($CB93/8760)</f>
        <v>294.67118601297761</v>
      </c>
      <c r="CK93" s="42">
        <f t="shared" ref="CK93:CK101" si="965">((380*$CM93)/1000)/$AD93</f>
        <v>0.20808896528973844</v>
      </c>
      <c r="CL93" s="40" t="e">
        <f t="shared" ref="CL93:CL101" si="966">$CJ93/$CU93</f>
        <v>#DIV/0!</v>
      </c>
      <c r="CM93" s="21">
        <f>CM83*6</f>
        <v>10219.577646903197</v>
      </c>
      <c r="CN93" s="43">
        <v>70</v>
      </c>
      <c r="CO93" s="40">
        <f t="shared" ref="CO93:CO101" si="967">$AD93*CN93+($CB93)</f>
        <v>1306383</v>
      </c>
      <c r="CP93" s="41">
        <f t="shared" ref="CP93:CP101" si="968">((CO93-$CB93)/1900)+($CB93/8760)</f>
        <v>687.56381759192504</v>
      </c>
      <c r="CQ93" s="42">
        <f t="shared" ref="CQ93:CQ101" si="969">((380*$CS93)/1000)/$AD93</f>
        <v>0.27753133100236538</v>
      </c>
      <c r="CR93" s="40" t="e">
        <f t="shared" ref="CR93:CR101" si="970">$CP93/$CU93</f>
        <v>#DIV/0!</v>
      </c>
      <c r="CS93" s="21">
        <f>CS83*6</f>
        <v>13630.001872890905</v>
      </c>
      <c r="CT93" s="44">
        <v>3.05</v>
      </c>
      <c r="CU93" s="3"/>
      <c r="CV93" s="40">
        <f t="shared" ref="CV93:CV101" si="971">(34.4*365*$AD93)/1000</f>
        <v>234325.0944</v>
      </c>
      <c r="CW93" s="40">
        <v>15</v>
      </c>
      <c r="CX93" s="40">
        <f t="shared" ref="CX93:CX101" si="972">$AD93*CW93+($CW93)</f>
        <v>279951</v>
      </c>
      <c r="CY93" s="41">
        <f t="shared" ref="CY93:CY101" si="973">((CX93-$CW93)/1900)+($CW93/8760)</f>
        <v>147.33644917087238</v>
      </c>
      <c r="CZ93" s="42">
        <f t="shared" ref="CZ93:CZ101" si="974">((380*$DB93)/1000)/$AD93</f>
        <v>1.8044258000866846</v>
      </c>
      <c r="DA93" s="40" t="e">
        <f t="shared" ref="DA93:DA101" si="975">$CY93/$DP93</f>
        <v>#DIV/0!</v>
      </c>
      <c r="DB93" s="21">
        <f>DB83*6</f>
        <v>88618.200135625637</v>
      </c>
      <c r="DC93" s="43">
        <v>30</v>
      </c>
      <c r="DD93" s="40">
        <f t="shared" ref="DD93:DD101" si="976">$AD93*DC93+($CW93)</f>
        <v>559887</v>
      </c>
      <c r="DE93" s="41">
        <f t="shared" ref="DE93:DE101" si="977">((DD93-$CW93)/1900)+($CW93/8760)</f>
        <v>294.67118601297761</v>
      </c>
      <c r="DF93" s="42">
        <f t="shared" ref="DF93:DF101" si="978">((380*$DH93)/1000)/$AD93</f>
        <v>1.8308299418227496</v>
      </c>
      <c r="DG93" s="40" t="e">
        <f t="shared" ref="DG93:DG101" si="979">$DE93/$DP93</f>
        <v>#DIV/0!</v>
      </c>
      <c r="DH93" s="21">
        <f>DH83*6</f>
        <v>89914.949227033911</v>
      </c>
      <c r="DI93" s="43">
        <v>70</v>
      </c>
      <c r="DJ93" s="40">
        <f t="shared" ref="DJ93:DJ101" si="980">$AD93*DI93+($CW93)</f>
        <v>1306383</v>
      </c>
      <c r="DK93" s="41">
        <f t="shared" ref="DK93:DK101" si="981">((DJ93-$CW93)/1900)+($CW93/8760)</f>
        <v>687.56381759192504</v>
      </c>
      <c r="DL93" s="42">
        <f t="shared" ref="DL93:DL101" si="982">((380*$DN93)/1000)/$AD93</f>
        <v>1.9262216412408633</v>
      </c>
      <c r="DM93" s="40" t="e">
        <f t="shared" ref="DM93:DM101" si="983">$DK93/$DP93</f>
        <v>#DIV/0!</v>
      </c>
      <c r="DN93" s="21">
        <f>DN83*6</f>
        <v>94599.786203930227</v>
      </c>
      <c r="DO93" s="44">
        <v>3.9</v>
      </c>
      <c r="DP93" s="7"/>
      <c r="DQ93" s="40">
        <f t="shared" ref="DQ93:DQ101" si="984">(34.4*365*$AD93)/1000</f>
        <v>234325.0944</v>
      </c>
      <c r="DR93" s="40">
        <v>15</v>
      </c>
      <c r="DS93" s="40">
        <f t="shared" ref="DS93:DS101" si="985">$AD93*DR93+($DR93)</f>
        <v>279951</v>
      </c>
      <c r="DT93" s="41">
        <f t="shared" ref="DT93:DT101" si="986">((DS93-$DR93)/1900)+($DR93/8760)</f>
        <v>147.33644917087238</v>
      </c>
      <c r="DU93" s="42">
        <f t="shared" ref="DU93:DU101" si="987">((201*$DW93)/1000)/$AD93</f>
        <v>0.11098514662950835</v>
      </c>
      <c r="DV93" s="40">
        <f t="shared" ref="DV93:DV101" si="988">$DT93/0.9</f>
        <v>163.70716574541376</v>
      </c>
      <c r="DW93" s="21">
        <f>DW83*6</f>
        <v>10304.722390340979</v>
      </c>
      <c r="DX93" s="43">
        <v>30</v>
      </c>
      <c r="DY93" s="40">
        <f t="shared" ref="DY93:DY101" si="989">$AD93*DX93+($DR93)</f>
        <v>559887</v>
      </c>
      <c r="DZ93" s="41">
        <f t="shared" ref="DZ93:DZ101" si="990">((DY93-$DR93)/1900)+($DR93/8760)</f>
        <v>294.67118601297761</v>
      </c>
      <c r="EA93" s="42">
        <f t="shared" ref="EA93:EA101" si="991">((201*$EC93)/1000)/$AD93</f>
        <v>0.11483780024268893</v>
      </c>
      <c r="EB93" s="40">
        <f t="shared" ref="EB93:EB101" si="992">$DZ93/0.9</f>
        <v>327.41242890330847</v>
      </c>
      <c r="EC93" s="21">
        <f>EC83*6</f>
        <v>10662.432652980886</v>
      </c>
      <c r="ED93" s="43">
        <v>70</v>
      </c>
      <c r="EE93" s="40">
        <f t="shared" ref="EE93:EE101" si="993">$AD93*ED93+($DR93)</f>
        <v>1306383</v>
      </c>
      <c r="EF93" s="41">
        <f t="shared" ref="EF93:EF101" si="994">((EE93-$DR93)/1900)+($DR93/8760)</f>
        <v>687.56381759192504</v>
      </c>
      <c r="EG93" s="42">
        <f t="shared" ref="EG93:EG101" si="995">((201*$EI93)/1000)/$AD93</f>
        <v>0.17709334464868179</v>
      </c>
      <c r="EH93" s="40">
        <f t="shared" ref="EH93:EH101" si="996">$EF93/0.9</f>
        <v>763.95979732436115</v>
      </c>
      <c r="EI93" s="21">
        <f>EI83*6</f>
        <v>16442.720572992832</v>
      </c>
      <c r="EJ93" s="44">
        <v>3.9</v>
      </c>
    </row>
    <row r="94" spans="1:140">
      <c r="A94" s="18" t="str">
        <f t="shared" si="0"/>
        <v>PgSc</v>
      </c>
      <c r="B94" s="19">
        <v>401</v>
      </c>
      <c r="C94" s="18" t="s">
        <v>90</v>
      </c>
      <c r="D94" s="18" t="s">
        <v>76</v>
      </c>
      <c r="E94" s="18" t="s">
        <v>84</v>
      </c>
      <c r="F94" s="3"/>
      <c r="G94" s="21">
        <v>60000</v>
      </c>
      <c r="H94" s="21">
        <f t="shared" ref="H94:L94" si="997">(H84*4)+(H83*2)</f>
        <v>48450</v>
      </c>
      <c r="I94" s="21">
        <f t="shared" si="997"/>
        <v>4728</v>
      </c>
      <c r="J94" s="21">
        <f t="shared" si="997"/>
        <v>4102</v>
      </c>
      <c r="K94" s="21">
        <f t="shared" si="997"/>
        <v>2720</v>
      </c>
      <c r="L94" s="21">
        <f t="shared" si="997"/>
        <v>7776</v>
      </c>
      <c r="M94" s="177"/>
      <c r="N94" s="23">
        <f t="shared" si="930"/>
        <v>0.12959999999999999</v>
      </c>
      <c r="O94" s="21">
        <f t="shared" si="931"/>
        <v>7177.8461538461552</v>
      </c>
      <c r="P94" s="21">
        <f t="shared" si="932"/>
        <v>5742.2769230769245</v>
      </c>
      <c r="Q94" s="21">
        <f t="shared" si="933"/>
        <v>2871.1384615384618</v>
      </c>
      <c r="R94" s="21">
        <f t="shared" si="934"/>
        <v>2296.9107692307693</v>
      </c>
      <c r="S94" s="21">
        <f t="shared" si="4"/>
        <v>8613.4153846153858</v>
      </c>
      <c r="T94" s="3"/>
      <c r="U94" s="26">
        <f t="shared" si="935"/>
        <v>7776</v>
      </c>
      <c r="V94" s="27">
        <f t="shared" si="936"/>
        <v>0.12959999999999999</v>
      </c>
      <c r="W94" s="108">
        <f t="shared" si="937"/>
        <v>0.38879999999999998</v>
      </c>
      <c r="X94" s="3"/>
      <c r="Y94" s="29">
        <v>3</v>
      </c>
      <c r="Z94" s="26">
        <f t="shared" si="938"/>
        <v>23328</v>
      </c>
      <c r="AA94" s="26">
        <f t="shared" si="939"/>
        <v>18662.400000000001</v>
      </c>
      <c r="AB94" s="26">
        <f t="shared" si="940"/>
        <v>26199.138461538463</v>
      </c>
      <c r="AC94" s="21">
        <f>(AC84*4)+(AC83*2)</f>
        <v>22269.267692307691</v>
      </c>
      <c r="AD94" s="26">
        <f t="shared" si="941"/>
        <v>18662.400000000001</v>
      </c>
      <c r="AE94" s="26">
        <f t="shared" si="942"/>
        <v>598.15384615384619</v>
      </c>
      <c r="AF94" s="26">
        <f t="shared" si="943"/>
        <v>18064.246153846154</v>
      </c>
      <c r="AG94" s="3"/>
      <c r="AH94" s="26">
        <f t="shared" si="850"/>
        <v>7776</v>
      </c>
      <c r="AI94" s="45">
        <f t="shared" ref="AI94:AJ94" si="998">(AI83*2)+(AI84*4)</f>
        <v>7776</v>
      </c>
      <c r="AJ94" s="45">
        <f t="shared" si="998"/>
        <v>20736</v>
      </c>
      <c r="AK94" s="26">
        <f t="shared" ref="AK94:AK98" si="999">SUM(AH94:AJ94)</f>
        <v>36288</v>
      </c>
      <c r="AL94" s="26">
        <f>AL83*2+AL84*4</f>
        <v>69984</v>
      </c>
      <c r="AM94" s="31">
        <f t="shared" si="945"/>
        <v>0.51851851851851849</v>
      </c>
      <c r="AN94" s="28"/>
      <c r="AO94" s="21">
        <f t="shared" ref="AO94:AP94" si="1000">AO83*2+AO84*4</f>
        <v>800</v>
      </c>
      <c r="AP94" s="33">
        <f t="shared" si="1000"/>
        <v>348</v>
      </c>
      <c r="AQ94" s="26">
        <f t="shared" si="947"/>
        <v>1148</v>
      </c>
      <c r="AR94" s="3"/>
      <c r="AS94" s="21">
        <f>(AS84*4)+(AS83*2)</f>
        <v>24</v>
      </c>
      <c r="AT94" s="3"/>
      <c r="AU94" s="26">
        <v>41</v>
      </c>
      <c r="AV94" s="26">
        <v>78</v>
      </c>
      <c r="AW94" s="26">
        <v>121</v>
      </c>
      <c r="AX94" s="35">
        <f>AX83*2+AX84*4</f>
        <v>455.180487804878</v>
      </c>
      <c r="AY94" s="35">
        <f t="shared" si="948"/>
        <v>239.26153846153849</v>
      </c>
      <c r="AZ94" s="35">
        <f t="shared" si="949"/>
        <v>17.083333333333336</v>
      </c>
      <c r="BA94" s="35">
        <f t="shared" si="950"/>
        <v>32.499999999999993</v>
      </c>
      <c r="BB94" s="3"/>
      <c r="BC94" s="37" t="s">
        <v>89</v>
      </c>
      <c r="BD94" s="26">
        <f t="shared" si="951"/>
        <v>7776</v>
      </c>
      <c r="BE94" s="21">
        <f t="shared" ref="BE94:BF94" si="1001">(BE84*4)+(BE83*2)</f>
        <v>19828.356923076921</v>
      </c>
      <c r="BF94" s="21" t="e" vm="2">
        <f t="shared" si="1001"/>
        <v>#VALUE!</v>
      </c>
      <c r="BG94" s="26" t="e" vm="2">
        <f t="shared" si="953"/>
        <v>#VALUE!</v>
      </c>
      <c r="BH94" s="26">
        <f t="shared" si="954"/>
        <v>2871.1384615384618</v>
      </c>
      <c r="BI94" s="21" t="e" vm="2">
        <f t="shared" ref="BI94:BJ94" si="1002">(BI84*4)+(BI83*2)</f>
        <v>#VALUE!</v>
      </c>
      <c r="BJ94" s="21">
        <f t="shared" si="1002"/>
        <v>287.26153846153846</v>
      </c>
      <c r="BK94" s="39">
        <v>0.18</v>
      </c>
      <c r="BL94" s="21">
        <f t="shared" ref="BL94:BR94" si="1003">(BL84*4)+(BL83*2)</f>
        <v>3359.232</v>
      </c>
      <c r="BM94" s="21">
        <f t="shared" si="1003"/>
        <v>14941.883076923079</v>
      </c>
      <c r="BN94" s="21">
        <f t="shared" si="1003"/>
        <v>9402.9784615384615</v>
      </c>
      <c r="BO94" s="21">
        <f t="shared" si="1003"/>
        <v>957.04615384615386</v>
      </c>
      <c r="BP94" s="21">
        <f t="shared" si="1003"/>
        <v>19828.356923076921</v>
      </c>
      <c r="BQ94" s="21">
        <f t="shared" si="1003"/>
        <v>72</v>
      </c>
      <c r="BR94" s="21" t="e" vm="2">
        <f t="shared" si="1003"/>
        <v>#VALUE!</v>
      </c>
      <c r="BS94" s="26"/>
      <c r="BT94" s="21">
        <f t="shared" ref="BT94:BW94" si="1004">(BT84*4)+(BT83*2)</f>
        <v>10450.944000000001</v>
      </c>
      <c r="BU94" s="21">
        <f t="shared" si="1004"/>
        <v>106562.304</v>
      </c>
      <c r="BV94" s="21">
        <f t="shared" si="1004"/>
        <v>13637.907692307694</v>
      </c>
      <c r="BW94" s="21">
        <f t="shared" si="1004"/>
        <v>6699.3230769230777</v>
      </c>
      <c r="BX94" s="21"/>
      <c r="BY94" s="21">
        <f>(BY84*4)+(BY83*2)</f>
        <v>0</v>
      </c>
      <c r="BZ94" s="3"/>
      <c r="CA94" s="40">
        <f t="shared" si="958"/>
        <v>234325.0944</v>
      </c>
      <c r="CB94" s="43">
        <v>15</v>
      </c>
      <c r="CC94" s="40">
        <f t="shared" si="959"/>
        <v>279951</v>
      </c>
      <c r="CD94" s="41">
        <f t="shared" si="960"/>
        <v>147.33644917087238</v>
      </c>
      <c r="CE94" s="42">
        <f t="shared" si="961"/>
        <v>0.19348390905199231</v>
      </c>
      <c r="CF94" s="40" t="e">
        <f t="shared" si="962"/>
        <v>#DIV/0!</v>
      </c>
      <c r="CG94" s="21">
        <f>(CG84*4)+(CG83*2)</f>
        <v>9502.3002744523728</v>
      </c>
      <c r="CH94" s="43">
        <v>30</v>
      </c>
      <c r="CI94" s="40">
        <f t="shared" si="963"/>
        <v>559887</v>
      </c>
      <c r="CJ94" s="41">
        <f t="shared" si="964"/>
        <v>294.67118601297761</v>
      </c>
      <c r="CK94" s="42">
        <f t="shared" si="965"/>
        <v>0.20808896528973844</v>
      </c>
      <c r="CL94" s="40" t="e">
        <f t="shared" si="966"/>
        <v>#DIV/0!</v>
      </c>
      <c r="CM94" s="21">
        <f>(CM84*4)+(CM83*2)</f>
        <v>10219.577646903197</v>
      </c>
      <c r="CN94" s="43">
        <v>70</v>
      </c>
      <c r="CO94" s="40">
        <f t="shared" si="967"/>
        <v>1306383</v>
      </c>
      <c r="CP94" s="41">
        <f t="shared" si="968"/>
        <v>687.56381759192504</v>
      </c>
      <c r="CQ94" s="42">
        <f t="shared" si="969"/>
        <v>0.27753133100236538</v>
      </c>
      <c r="CR94" s="40" t="e">
        <f t="shared" si="970"/>
        <v>#DIV/0!</v>
      </c>
      <c r="CS94" s="21">
        <f>(CS84*4)+(CS83*2)</f>
        <v>13630.001872890905</v>
      </c>
      <c r="CT94" s="44">
        <v>3.05</v>
      </c>
      <c r="CU94" s="3"/>
      <c r="CV94" s="40">
        <f t="shared" si="971"/>
        <v>234325.0944</v>
      </c>
      <c r="CW94" s="40">
        <v>15</v>
      </c>
      <c r="CX94" s="40">
        <f t="shared" si="972"/>
        <v>279951</v>
      </c>
      <c r="CY94" s="41">
        <f t="shared" si="973"/>
        <v>147.33644917087238</v>
      </c>
      <c r="CZ94" s="42">
        <f t="shared" si="974"/>
        <v>1.7898049847638291</v>
      </c>
      <c r="DA94" s="40" t="e">
        <f t="shared" si="975"/>
        <v>#DIV/0!</v>
      </c>
      <c r="DB94" s="21">
        <f>(DB84*4)+(DB83*2)</f>
        <v>87900.148809622333</v>
      </c>
      <c r="DC94" s="43">
        <v>30</v>
      </c>
      <c r="DD94" s="40">
        <f t="shared" si="976"/>
        <v>559887</v>
      </c>
      <c r="DE94" s="41">
        <f t="shared" si="977"/>
        <v>294.67118601297761</v>
      </c>
      <c r="DF94" s="42">
        <f t="shared" si="978"/>
        <v>1.8162091265301241</v>
      </c>
      <c r="DG94" s="40" t="e">
        <f t="shared" si="979"/>
        <v>#DIV/0!</v>
      </c>
      <c r="DH94" s="21">
        <f>(DH84*4)+(DH83*2)</f>
        <v>89196.897902515237</v>
      </c>
      <c r="DI94" s="43">
        <v>70</v>
      </c>
      <c r="DJ94" s="40">
        <f t="shared" si="980"/>
        <v>1306383</v>
      </c>
      <c r="DK94" s="41">
        <f t="shared" si="981"/>
        <v>687.56381759192504</v>
      </c>
      <c r="DL94" s="42">
        <f t="shared" si="982"/>
        <v>1.911600825918008</v>
      </c>
      <c r="DM94" s="40" t="e">
        <f t="shared" si="983"/>
        <v>#DIV/0!</v>
      </c>
      <c r="DN94" s="21">
        <f>(DN84*4)+(DN83*2)</f>
        <v>93881.734877926938</v>
      </c>
      <c r="DO94" s="44">
        <v>3.9</v>
      </c>
      <c r="DP94" s="7"/>
      <c r="DQ94" s="40">
        <f t="shared" si="984"/>
        <v>234325.0944</v>
      </c>
      <c r="DR94" s="40">
        <v>15</v>
      </c>
      <c r="DS94" s="40">
        <f t="shared" si="985"/>
        <v>279951</v>
      </c>
      <c r="DT94" s="41">
        <f t="shared" si="986"/>
        <v>147.33644917087238</v>
      </c>
      <c r="DU94" s="42">
        <f t="shared" si="987"/>
        <v>0.11056158820035987</v>
      </c>
      <c r="DV94" s="40">
        <f t="shared" si="988"/>
        <v>163.70716574541376</v>
      </c>
      <c r="DW94" s="21">
        <f>(DW84*4)+(DW83*2)</f>
        <v>10265.395938459684</v>
      </c>
      <c r="DX94" s="43">
        <v>30</v>
      </c>
      <c r="DY94" s="40">
        <f t="shared" si="989"/>
        <v>559887</v>
      </c>
      <c r="DZ94" s="41">
        <f t="shared" si="990"/>
        <v>294.67118601297761</v>
      </c>
      <c r="EA94" s="42">
        <f t="shared" si="991"/>
        <v>0.11441424181354047</v>
      </c>
      <c r="EB94" s="40">
        <f t="shared" si="992"/>
        <v>327.41242890330847</v>
      </c>
      <c r="EC94" s="21">
        <f>(EC84*4)+(EC83*2)</f>
        <v>10623.10620109959</v>
      </c>
      <c r="ED94" s="43">
        <v>70</v>
      </c>
      <c r="EE94" s="40">
        <f t="shared" si="993"/>
        <v>1306383</v>
      </c>
      <c r="EF94" s="41">
        <f t="shared" si="994"/>
        <v>687.56381759192504</v>
      </c>
      <c r="EG94" s="42">
        <f t="shared" si="995"/>
        <v>0.17666978623552312</v>
      </c>
      <c r="EH94" s="40">
        <f t="shared" si="996"/>
        <v>763.95979732436115</v>
      </c>
      <c r="EI94" s="21">
        <f>(EI84*4)+(EI83*2)</f>
        <v>16403.394122596157</v>
      </c>
      <c r="EJ94" s="44">
        <v>3.9</v>
      </c>
    </row>
    <row r="95" spans="1:140">
      <c r="A95" s="18" t="str">
        <f t="shared" si="0"/>
        <v>PgSa</v>
      </c>
      <c r="B95" s="19">
        <v>402</v>
      </c>
      <c r="C95" s="18" t="s">
        <v>90</v>
      </c>
      <c r="D95" s="18" t="s">
        <v>76</v>
      </c>
      <c r="E95" s="18" t="s">
        <v>85</v>
      </c>
      <c r="F95" s="3"/>
      <c r="G95" s="21">
        <v>60000</v>
      </c>
      <c r="H95" s="21">
        <f t="shared" ref="H95:L95" si="1005">(H85*4)+(H83*2)</f>
        <v>48422</v>
      </c>
      <c r="I95" s="21">
        <f t="shared" si="1005"/>
        <v>5384</v>
      </c>
      <c r="J95" s="21">
        <f t="shared" si="1005"/>
        <v>3554</v>
      </c>
      <c r="K95" s="21">
        <f t="shared" si="1005"/>
        <v>2640</v>
      </c>
      <c r="L95" s="21">
        <f t="shared" si="1005"/>
        <v>7776</v>
      </c>
      <c r="M95" s="179"/>
      <c r="N95" s="23">
        <f t="shared" si="930"/>
        <v>0.12959999999999999</v>
      </c>
      <c r="O95" s="21">
        <f t="shared" si="931"/>
        <v>7177.8461538461552</v>
      </c>
      <c r="P95" s="21">
        <f t="shared" si="932"/>
        <v>5742.2769230769245</v>
      </c>
      <c r="Q95" s="21">
        <f t="shared" si="933"/>
        <v>2871.1384615384618</v>
      </c>
      <c r="R95" s="21">
        <f t="shared" si="934"/>
        <v>2296.9107692307693</v>
      </c>
      <c r="S95" s="21">
        <f t="shared" si="4"/>
        <v>8613.4153846153858</v>
      </c>
      <c r="T95" s="3"/>
      <c r="U95" s="26">
        <f t="shared" si="935"/>
        <v>7776</v>
      </c>
      <c r="V95" s="27">
        <f t="shared" si="936"/>
        <v>0.12959999999999999</v>
      </c>
      <c r="W95" s="108">
        <f t="shared" si="937"/>
        <v>0.38879999999999998</v>
      </c>
      <c r="X95" s="3"/>
      <c r="Y95" s="29">
        <v>3</v>
      </c>
      <c r="Z95" s="26">
        <f t="shared" si="938"/>
        <v>23328</v>
      </c>
      <c r="AA95" s="26">
        <f t="shared" si="939"/>
        <v>18662.400000000001</v>
      </c>
      <c r="AB95" s="26">
        <f t="shared" si="940"/>
        <v>26199.138461538463</v>
      </c>
      <c r="AC95" s="21">
        <f>(AC85*4)+(AC83*2)</f>
        <v>22269.267692307691</v>
      </c>
      <c r="AD95" s="26">
        <f t="shared" si="941"/>
        <v>18662.400000000001</v>
      </c>
      <c r="AE95" s="26">
        <f t="shared" si="942"/>
        <v>598.15384615384619</v>
      </c>
      <c r="AF95" s="26">
        <f t="shared" si="943"/>
        <v>18064.246153846154</v>
      </c>
      <c r="AG95" s="3"/>
      <c r="AH95" s="26">
        <f t="shared" si="850"/>
        <v>7776</v>
      </c>
      <c r="AI95" s="45">
        <f t="shared" ref="AI95:AJ95" si="1006">(AI83*2)+(AI85*4)</f>
        <v>7776</v>
      </c>
      <c r="AJ95" s="45">
        <f t="shared" si="1006"/>
        <v>20736</v>
      </c>
      <c r="AK95" s="26">
        <f t="shared" si="999"/>
        <v>36288</v>
      </c>
      <c r="AL95" s="26">
        <f>AL83*2+AL85*4</f>
        <v>69984</v>
      </c>
      <c r="AM95" s="31">
        <f t="shared" si="945"/>
        <v>0.51851851851851849</v>
      </c>
      <c r="AN95" s="28"/>
      <c r="AO95" s="21">
        <f t="shared" ref="AO95:AP95" si="1007">AO83*2+AO85*4</f>
        <v>760</v>
      </c>
      <c r="AP95" s="33">
        <f t="shared" si="1007"/>
        <v>348</v>
      </c>
      <c r="AQ95" s="26">
        <f t="shared" si="947"/>
        <v>1108</v>
      </c>
      <c r="AR95" s="3"/>
      <c r="AS95" s="21">
        <f>(AS85*4)+(AS83*2)</f>
        <v>24</v>
      </c>
      <c r="AT95" s="3"/>
      <c r="AU95" s="26">
        <v>41</v>
      </c>
      <c r="AV95" s="26">
        <v>78</v>
      </c>
      <c r="AW95" s="26">
        <v>121</v>
      </c>
      <c r="AX95" s="35">
        <f>AX83*2+AX85*4</f>
        <v>455.180487804878</v>
      </c>
      <c r="AY95" s="35">
        <f t="shared" si="948"/>
        <v>239.26153846153849</v>
      </c>
      <c r="AZ95" s="35">
        <f t="shared" si="949"/>
        <v>17.083333333333336</v>
      </c>
      <c r="BA95" s="35">
        <f t="shared" si="950"/>
        <v>32.499999999999993</v>
      </c>
      <c r="BB95" s="3"/>
      <c r="BC95" s="37" t="s">
        <v>89</v>
      </c>
      <c r="BD95" s="26">
        <f t="shared" si="951"/>
        <v>7776</v>
      </c>
      <c r="BE95" s="21">
        <f t="shared" ref="BE95:BF95" si="1008">(BE85*4)+(BE83*2)</f>
        <v>19828.356923076921</v>
      </c>
      <c r="BF95" s="21" t="e" vm="2">
        <f t="shared" si="1008"/>
        <v>#VALUE!</v>
      </c>
      <c r="BG95" s="26" t="e" vm="2">
        <f t="shared" si="953"/>
        <v>#VALUE!</v>
      </c>
      <c r="BH95" s="26">
        <f t="shared" si="954"/>
        <v>2871.1384615384618</v>
      </c>
      <c r="BI95" s="21" t="e" vm="2">
        <f t="shared" ref="BI95:BJ95" si="1009">(BI85*4)+(BI83*2)</f>
        <v>#VALUE!</v>
      </c>
      <c r="BJ95" s="21">
        <f t="shared" si="1009"/>
        <v>287.26153846153846</v>
      </c>
      <c r="BK95" s="39">
        <v>0.18</v>
      </c>
      <c r="BL95" s="21">
        <f t="shared" ref="BL95:BR95" si="1010">(BL85*4)+(BL83*2)</f>
        <v>3359.232</v>
      </c>
      <c r="BM95" s="21">
        <f t="shared" si="1010"/>
        <v>14941.883076923079</v>
      </c>
      <c r="BN95" s="21">
        <f t="shared" si="1010"/>
        <v>9402.9784615384615</v>
      </c>
      <c r="BO95" s="21">
        <f t="shared" si="1010"/>
        <v>957.04615384615386</v>
      </c>
      <c r="BP95" s="21">
        <f t="shared" si="1010"/>
        <v>19828.356923076921</v>
      </c>
      <c r="BQ95" s="21">
        <f t="shared" si="1010"/>
        <v>72</v>
      </c>
      <c r="BR95" s="21" t="e" vm="2">
        <f t="shared" si="1010"/>
        <v>#VALUE!</v>
      </c>
      <c r="BS95" s="26"/>
      <c r="BT95" s="21">
        <f t="shared" ref="BT95:BW95" si="1011">(BT85*4)+(BT83*2)</f>
        <v>10450.944000000001</v>
      </c>
      <c r="BU95" s="21">
        <f t="shared" si="1011"/>
        <v>106562.304</v>
      </c>
      <c r="BV95" s="21">
        <f t="shared" si="1011"/>
        <v>13637.907692307694</v>
      </c>
      <c r="BW95" s="21">
        <f t="shared" si="1011"/>
        <v>6699.3230769230777</v>
      </c>
      <c r="BX95" s="21"/>
      <c r="BY95" s="21">
        <f>(BY85*4)+(BY83*2)</f>
        <v>0</v>
      </c>
      <c r="BZ95" s="3"/>
      <c r="CA95" s="40">
        <f t="shared" si="958"/>
        <v>234325.0944</v>
      </c>
      <c r="CB95" s="43">
        <v>15</v>
      </c>
      <c r="CC95" s="40">
        <f t="shared" si="959"/>
        <v>279951</v>
      </c>
      <c r="CD95" s="41">
        <f t="shared" si="960"/>
        <v>147.33644917087238</v>
      </c>
      <c r="CE95" s="42">
        <f t="shared" si="961"/>
        <v>0.19348390905199231</v>
      </c>
      <c r="CF95" s="40" t="e">
        <f t="shared" si="962"/>
        <v>#DIV/0!</v>
      </c>
      <c r="CG95" s="21">
        <f>(CG85*4)+(CG83*2)</f>
        <v>9502.3002744523728</v>
      </c>
      <c r="CH95" s="43">
        <v>30</v>
      </c>
      <c r="CI95" s="40">
        <f t="shared" si="963"/>
        <v>559887</v>
      </c>
      <c r="CJ95" s="41">
        <f t="shared" si="964"/>
        <v>294.67118601297761</v>
      </c>
      <c r="CK95" s="42">
        <f t="shared" si="965"/>
        <v>0.20808896528973844</v>
      </c>
      <c r="CL95" s="40" t="e">
        <f t="shared" si="966"/>
        <v>#DIV/0!</v>
      </c>
      <c r="CM95" s="21">
        <f>(CM85*4)+(CM83*2)</f>
        <v>10219.577646903197</v>
      </c>
      <c r="CN95" s="43">
        <v>70</v>
      </c>
      <c r="CO95" s="40">
        <f t="shared" si="967"/>
        <v>1306383</v>
      </c>
      <c r="CP95" s="41">
        <f t="shared" si="968"/>
        <v>687.56381759192504</v>
      </c>
      <c r="CQ95" s="42">
        <f t="shared" si="969"/>
        <v>0.27753133100236538</v>
      </c>
      <c r="CR95" s="40" t="e">
        <f t="shared" si="970"/>
        <v>#DIV/0!</v>
      </c>
      <c r="CS95" s="21">
        <f>(CS85*4)+(CS83*2)</f>
        <v>13630.001872890905</v>
      </c>
      <c r="CT95" s="44">
        <v>3.05</v>
      </c>
      <c r="CU95" s="3"/>
      <c r="CV95" s="40">
        <f t="shared" si="971"/>
        <v>234325.0944</v>
      </c>
      <c r="CW95" s="40">
        <v>15</v>
      </c>
      <c r="CX95" s="40">
        <f t="shared" si="972"/>
        <v>279951</v>
      </c>
      <c r="CY95" s="41">
        <f t="shared" si="973"/>
        <v>147.33644917087238</v>
      </c>
      <c r="CZ95" s="42">
        <f t="shared" si="974"/>
        <v>1.7883418744102462</v>
      </c>
      <c r="DA95" s="40" t="e">
        <f t="shared" si="975"/>
        <v>#DIV/0!</v>
      </c>
      <c r="DB95" s="21">
        <f>(DB85*4)+(DB83*2)</f>
        <v>87828.293149983627</v>
      </c>
      <c r="DC95" s="43">
        <v>30</v>
      </c>
      <c r="DD95" s="40">
        <f t="shared" si="976"/>
        <v>559887</v>
      </c>
      <c r="DE95" s="41">
        <f t="shared" si="977"/>
        <v>294.67118601297761</v>
      </c>
      <c r="DF95" s="42">
        <f t="shared" si="978"/>
        <v>1.8147460161463111</v>
      </c>
      <c r="DG95" s="40" t="e">
        <f t="shared" si="979"/>
        <v>#DIV/0!</v>
      </c>
      <c r="DH95" s="21">
        <f>(DH85*4)+(DH83*2)</f>
        <v>89125.0422413919</v>
      </c>
      <c r="DI95" s="43">
        <v>70</v>
      </c>
      <c r="DJ95" s="40">
        <f t="shared" si="980"/>
        <v>1306383</v>
      </c>
      <c r="DK95" s="41">
        <f t="shared" si="981"/>
        <v>687.56381759192504</v>
      </c>
      <c r="DL95" s="42">
        <f t="shared" si="982"/>
        <v>1.9101377155644248</v>
      </c>
      <c r="DM95" s="40" t="e">
        <f t="shared" si="983"/>
        <v>#DIV/0!</v>
      </c>
      <c r="DN95" s="21">
        <f>(DN85*4)+(DN83*2)</f>
        <v>93809.879218288217</v>
      </c>
      <c r="DO95" s="44">
        <v>3.9</v>
      </c>
      <c r="DP95" s="7"/>
      <c r="DQ95" s="40">
        <f t="shared" si="984"/>
        <v>234325.0944</v>
      </c>
      <c r="DR95" s="40">
        <v>15</v>
      </c>
      <c r="DS95" s="40">
        <f t="shared" si="985"/>
        <v>279951</v>
      </c>
      <c r="DT95" s="41">
        <f t="shared" si="986"/>
        <v>147.33644917087238</v>
      </c>
      <c r="DU95" s="42">
        <f t="shared" si="987"/>
        <v>0.11051923345434586</v>
      </c>
      <c r="DV95" s="40">
        <f t="shared" si="988"/>
        <v>163.70716574541376</v>
      </c>
      <c r="DW95" s="21">
        <f>(DW85*4)+(DW83*2)</f>
        <v>10261.46339511634</v>
      </c>
      <c r="DX95" s="43">
        <v>30</v>
      </c>
      <c r="DY95" s="40">
        <f t="shared" si="989"/>
        <v>559887</v>
      </c>
      <c r="DZ95" s="41">
        <f t="shared" si="990"/>
        <v>294.67118601297761</v>
      </c>
      <c r="EA95" s="42">
        <f t="shared" si="991"/>
        <v>0.11437188706752643</v>
      </c>
      <c r="EB95" s="40">
        <f t="shared" si="992"/>
        <v>327.41242890330847</v>
      </c>
      <c r="EC95" s="21">
        <f>(EC85*4)+(EC83*2)</f>
        <v>10619.173657756246</v>
      </c>
      <c r="ED95" s="43">
        <v>70</v>
      </c>
      <c r="EE95" s="40">
        <f t="shared" si="993"/>
        <v>1306383</v>
      </c>
      <c r="EF95" s="41">
        <f t="shared" si="994"/>
        <v>687.56381759192504</v>
      </c>
      <c r="EG95" s="42">
        <f t="shared" si="995"/>
        <v>0.17662743147351931</v>
      </c>
      <c r="EH95" s="40">
        <f t="shared" si="996"/>
        <v>763.95979732436115</v>
      </c>
      <c r="EI95" s="21">
        <f>(EI85*4)+(EI83*2)</f>
        <v>16399.461577768194</v>
      </c>
      <c r="EJ95" s="44">
        <v>3.9</v>
      </c>
    </row>
    <row r="96" spans="1:140">
      <c r="A96" s="48" t="str">
        <f t="shared" si="0"/>
        <v>PmGi</v>
      </c>
      <c r="B96" s="49">
        <v>410</v>
      </c>
      <c r="C96" s="48" t="s">
        <v>90</v>
      </c>
      <c r="D96" s="48" t="s">
        <v>81</v>
      </c>
      <c r="E96" s="48" t="s">
        <v>83</v>
      </c>
      <c r="F96" s="3"/>
      <c r="G96" s="50">
        <v>60000</v>
      </c>
      <c r="H96" s="50">
        <f t="shared" ref="H96:L96" si="1012">H86*6</f>
        <v>43350</v>
      </c>
      <c r="I96" s="50">
        <f t="shared" si="1012"/>
        <v>6984</v>
      </c>
      <c r="J96" s="50">
        <f t="shared" si="1012"/>
        <v>5586</v>
      </c>
      <c r="K96" s="50">
        <f t="shared" si="1012"/>
        <v>4080</v>
      </c>
      <c r="L96" s="50">
        <f t="shared" si="1012"/>
        <v>11664</v>
      </c>
      <c r="M96" s="121"/>
      <c r="N96" s="107">
        <f t="shared" si="930"/>
        <v>0.19439999999999999</v>
      </c>
      <c r="O96" s="52">
        <f t="shared" si="931"/>
        <v>14355.69230769231</v>
      </c>
      <c r="P96" s="52">
        <f t="shared" si="932"/>
        <v>11484.553846153849</v>
      </c>
      <c r="Q96" s="52">
        <f t="shared" si="933"/>
        <v>5742.2769230769236</v>
      </c>
      <c r="R96" s="52">
        <f t="shared" si="934"/>
        <v>4593.8215384615387</v>
      </c>
      <c r="S96" s="52">
        <f t="shared" si="4"/>
        <v>17226.830769230772</v>
      </c>
      <c r="T96" s="3"/>
      <c r="U96" s="58">
        <f t="shared" si="935"/>
        <v>11664</v>
      </c>
      <c r="V96" s="56">
        <f t="shared" si="936"/>
        <v>0.19439999999999999</v>
      </c>
      <c r="W96" s="110">
        <f t="shared" si="937"/>
        <v>0.77759999999999996</v>
      </c>
      <c r="X96" s="3"/>
      <c r="Y96" s="57">
        <v>4</v>
      </c>
      <c r="Z96" s="58">
        <f t="shared" si="938"/>
        <v>46656</v>
      </c>
      <c r="AA96" s="58">
        <f t="shared" si="939"/>
        <v>37324.800000000003</v>
      </c>
      <c r="AB96" s="58">
        <f t="shared" si="940"/>
        <v>52398.276923076926</v>
      </c>
      <c r="AC96" s="50">
        <f>AC86*6</f>
        <v>44538.535384615381</v>
      </c>
      <c r="AD96" s="58">
        <f t="shared" si="941"/>
        <v>37324.800000000003</v>
      </c>
      <c r="AE96" s="58">
        <f t="shared" si="942"/>
        <v>1196.3076923076924</v>
      </c>
      <c r="AF96" s="58">
        <f t="shared" si="943"/>
        <v>36128.492307692308</v>
      </c>
      <c r="AG96" s="3"/>
      <c r="AH96" s="58">
        <f t="shared" si="850"/>
        <v>11664</v>
      </c>
      <c r="AI96" s="50">
        <f t="shared" ref="AI96:AJ96" si="1013">AI86*6</f>
        <v>11664</v>
      </c>
      <c r="AJ96" s="58">
        <f t="shared" si="1013"/>
        <v>31104</v>
      </c>
      <c r="AK96" s="58">
        <f t="shared" si="999"/>
        <v>54432</v>
      </c>
      <c r="AL96" s="58">
        <f>AL86*6</f>
        <v>139968</v>
      </c>
      <c r="AM96" s="59">
        <f t="shared" si="945"/>
        <v>0.3888888888888889</v>
      </c>
      <c r="AN96" s="32"/>
      <c r="AO96" s="50">
        <f t="shared" ref="AO96:AP96" si="1014">AO86*6</f>
        <v>1200</v>
      </c>
      <c r="AP96" s="60">
        <f t="shared" si="1014"/>
        <v>378</v>
      </c>
      <c r="AQ96" s="55">
        <f t="shared" si="947"/>
        <v>1578</v>
      </c>
      <c r="AR96" s="3"/>
      <c r="AS96" s="50">
        <f>AS86*6</f>
        <v>36</v>
      </c>
      <c r="AT96" s="3"/>
      <c r="AU96" s="58">
        <v>41</v>
      </c>
      <c r="AV96" s="58">
        <v>78</v>
      </c>
      <c r="AW96" s="58">
        <v>121</v>
      </c>
      <c r="AX96" s="62">
        <f>AX86*6</f>
        <v>910.360975609756</v>
      </c>
      <c r="AY96" s="62">
        <f t="shared" si="948"/>
        <v>478.52307692307699</v>
      </c>
      <c r="AZ96" s="62">
        <f t="shared" si="949"/>
        <v>12.812500000000002</v>
      </c>
      <c r="BA96" s="62">
        <f t="shared" si="950"/>
        <v>24.374999999999996</v>
      </c>
      <c r="BB96" s="3"/>
      <c r="BC96" s="58" t="s">
        <v>89</v>
      </c>
      <c r="BD96" s="58">
        <f t="shared" si="951"/>
        <v>11664</v>
      </c>
      <c r="BE96" s="50">
        <f t="shared" ref="BE96:BF96" si="1015">BE86*6</f>
        <v>39656.713846153842</v>
      </c>
      <c r="BF96" s="50" t="e" vm="2">
        <f t="shared" si="1015"/>
        <v>#VALUE!</v>
      </c>
      <c r="BG96" s="58" t="e" vm="2">
        <f t="shared" si="953"/>
        <v>#VALUE!</v>
      </c>
      <c r="BH96" s="58">
        <f t="shared" si="954"/>
        <v>5742.2769230769236</v>
      </c>
      <c r="BI96" s="50" t="e" vm="2">
        <f t="shared" ref="BI96:BJ96" si="1016">BI86*6</f>
        <v>#VALUE!</v>
      </c>
      <c r="BJ96" s="50">
        <f t="shared" si="1016"/>
        <v>550.52307692307693</v>
      </c>
      <c r="BK96" s="64">
        <v>0.18</v>
      </c>
      <c r="BL96" s="50">
        <f t="shared" ref="BL96:BR96" si="1017">BL86*6</f>
        <v>6718.4639999999999</v>
      </c>
      <c r="BM96" s="50">
        <f t="shared" si="1017"/>
        <v>29883.766153846158</v>
      </c>
      <c r="BN96" s="50">
        <f t="shared" si="1017"/>
        <v>18805.956923076923</v>
      </c>
      <c r="BO96" s="50">
        <f t="shared" si="1017"/>
        <v>1914.0923076923077</v>
      </c>
      <c r="BP96" s="50">
        <f t="shared" si="1017"/>
        <v>39656.713846153842</v>
      </c>
      <c r="BQ96" s="50">
        <f t="shared" si="1017"/>
        <v>144</v>
      </c>
      <c r="BR96" s="50" t="e" vm="2">
        <f t="shared" si="1017"/>
        <v>#VALUE!</v>
      </c>
      <c r="BS96" s="26"/>
      <c r="BT96" s="50">
        <f t="shared" ref="BT96:BW96" si="1018">BT86*6</f>
        <v>20901.888000000003</v>
      </c>
      <c r="BU96" s="50">
        <f t="shared" si="1018"/>
        <v>213124.60800000001</v>
      </c>
      <c r="BV96" s="50">
        <f t="shared" si="1018"/>
        <v>27275.815384615387</v>
      </c>
      <c r="BW96" s="50">
        <f t="shared" si="1018"/>
        <v>13398.646153846155</v>
      </c>
      <c r="BX96" s="50"/>
      <c r="BY96" s="50">
        <f>BY86*6</f>
        <v>36</v>
      </c>
      <c r="BZ96" s="3"/>
      <c r="CA96" s="65">
        <f t="shared" si="958"/>
        <v>468650.1888</v>
      </c>
      <c r="CB96" s="68">
        <v>15</v>
      </c>
      <c r="CC96" s="65">
        <f t="shared" si="959"/>
        <v>559887</v>
      </c>
      <c r="CD96" s="66">
        <f t="shared" si="960"/>
        <v>294.67118601297761</v>
      </c>
      <c r="CE96" s="67">
        <f t="shared" si="961"/>
        <v>0.19213972204510382</v>
      </c>
      <c r="CF96" s="65" t="e">
        <f t="shared" si="962"/>
        <v>#DIV/0!</v>
      </c>
      <c r="CG96" s="50">
        <f>CG86*6</f>
        <v>18872.570256287083</v>
      </c>
      <c r="CH96" s="68">
        <v>30</v>
      </c>
      <c r="CI96" s="65">
        <f t="shared" si="963"/>
        <v>1119759</v>
      </c>
      <c r="CJ96" s="66">
        <f t="shared" si="964"/>
        <v>589.34065969718813</v>
      </c>
      <c r="CK96" s="67">
        <f t="shared" si="965"/>
        <v>0.20706707251480572</v>
      </c>
      <c r="CL96" s="65" t="e">
        <f t="shared" si="966"/>
        <v>#DIV/0!</v>
      </c>
      <c r="CM96" s="50">
        <f>CM86*6</f>
        <v>20338.781758422687</v>
      </c>
      <c r="CN96" s="68">
        <v>70</v>
      </c>
      <c r="CO96" s="65">
        <f t="shared" si="967"/>
        <v>2612751</v>
      </c>
      <c r="CP96" s="66">
        <f t="shared" si="968"/>
        <v>1375.125922855083</v>
      </c>
      <c r="CQ96" s="67">
        <f t="shared" si="969"/>
        <v>0.27630607778645955</v>
      </c>
      <c r="CR96" s="65" t="e">
        <f t="shared" si="970"/>
        <v>#DIV/0!</v>
      </c>
      <c r="CS96" s="50">
        <f>CS86*6</f>
        <v>27139.655505694856</v>
      </c>
      <c r="CT96" s="69">
        <v>3.05</v>
      </c>
      <c r="CU96" s="3"/>
      <c r="CV96" s="65">
        <f t="shared" si="971"/>
        <v>468650.1888</v>
      </c>
      <c r="CW96" s="65">
        <v>15</v>
      </c>
      <c r="CX96" s="65">
        <f t="shared" si="972"/>
        <v>559887</v>
      </c>
      <c r="CY96" s="66">
        <f t="shared" si="973"/>
        <v>294.67118601297761</v>
      </c>
      <c r="CZ96" s="67">
        <f t="shared" si="974"/>
        <v>1.4619050346586169</v>
      </c>
      <c r="DA96" s="65" t="e">
        <f t="shared" si="975"/>
        <v>#DIV/0!</v>
      </c>
      <c r="DB96" s="50">
        <f>DB86*6</f>
        <v>143592.92904638409</v>
      </c>
      <c r="DC96" s="68">
        <v>30</v>
      </c>
      <c r="DD96" s="65">
        <f t="shared" si="976"/>
        <v>1119759</v>
      </c>
      <c r="DE96" s="66">
        <f t="shared" si="977"/>
        <v>589.34065969718813</v>
      </c>
      <c r="DF96" s="67">
        <f t="shared" si="978"/>
        <v>1.4886486658844535</v>
      </c>
      <c r="DG96" s="65" t="e">
        <f t="shared" si="979"/>
        <v>#DIV/0!</v>
      </c>
      <c r="DH96" s="50">
        <f>DH86*6</f>
        <v>146219.77295895806</v>
      </c>
      <c r="DI96" s="68">
        <v>70</v>
      </c>
      <c r="DJ96" s="65">
        <f t="shared" si="980"/>
        <v>2612751</v>
      </c>
      <c r="DK96" s="66">
        <f t="shared" si="981"/>
        <v>1375.125922855083</v>
      </c>
      <c r="DL96" s="67">
        <f t="shared" si="982"/>
        <v>1.5872437436723827</v>
      </c>
      <c r="DM96" s="65" t="e">
        <f t="shared" si="983"/>
        <v>#DIV/0!</v>
      </c>
      <c r="DN96" s="50">
        <f>DN86*6</f>
        <v>155904.09285216566</v>
      </c>
      <c r="DO96" s="69">
        <v>3.9</v>
      </c>
      <c r="DP96" s="7"/>
      <c r="DQ96" s="65">
        <f t="shared" si="984"/>
        <v>468650.1888</v>
      </c>
      <c r="DR96" s="65">
        <v>15</v>
      </c>
      <c r="DS96" s="65">
        <f t="shared" si="985"/>
        <v>559887</v>
      </c>
      <c r="DT96" s="66">
        <f t="shared" si="986"/>
        <v>294.67118601297761</v>
      </c>
      <c r="DU96" s="67">
        <f t="shared" si="987"/>
        <v>0.10816610878750238</v>
      </c>
      <c r="DV96" s="65">
        <f t="shared" si="988"/>
        <v>327.41242890330847</v>
      </c>
      <c r="DW96" s="50">
        <f>DW86*6</f>
        <v>20085.962075978954</v>
      </c>
      <c r="DX96" s="68">
        <v>30</v>
      </c>
      <c r="DY96" s="65">
        <f t="shared" si="989"/>
        <v>1119759</v>
      </c>
      <c r="DZ96" s="66">
        <f t="shared" si="990"/>
        <v>589.34065969718813</v>
      </c>
      <c r="EA96" s="67">
        <f t="shared" si="991"/>
        <v>0.11820218837663077</v>
      </c>
      <c r="EB96" s="65">
        <f t="shared" si="992"/>
        <v>654.82295521909793</v>
      </c>
      <c r="EC96" s="50">
        <f>EC86*6</f>
        <v>21949.617118010287</v>
      </c>
      <c r="ED96" s="68">
        <v>70</v>
      </c>
      <c r="EE96" s="65">
        <f t="shared" si="993"/>
        <v>2612751</v>
      </c>
      <c r="EF96" s="66">
        <f t="shared" si="994"/>
        <v>1375.125922855083</v>
      </c>
      <c r="EG96" s="67">
        <f t="shared" si="995"/>
        <v>0.16910505320361632</v>
      </c>
      <c r="EH96" s="65">
        <f t="shared" si="996"/>
        <v>1527.9176920612033</v>
      </c>
      <c r="EI96" s="50">
        <f>EI86*6</f>
        <v>31402.051193106163</v>
      </c>
      <c r="EJ96" s="69">
        <v>3.9</v>
      </c>
    </row>
    <row r="97" spans="1:140">
      <c r="A97" s="48" t="str">
        <f t="shared" si="0"/>
        <v>PmSc</v>
      </c>
      <c r="B97" s="49">
        <v>411</v>
      </c>
      <c r="C97" s="48" t="s">
        <v>90</v>
      </c>
      <c r="D97" s="48" t="s">
        <v>81</v>
      </c>
      <c r="E97" s="48" t="s">
        <v>84</v>
      </c>
      <c r="F97" s="3"/>
      <c r="G97" s="50">
        <v>60000</v>
      </c>
      <c r="H97" s="50">
        <f t="shared" ref="H97:L97" si="1019">(H87*4)+(H86*2)</f>
        <v>48450</v>
      </c>
      <c r="I97" s="50">
        <f t="shared" si="1019"/>
        <v>4728</v>
      </c>
      <c r="J97" s="50">
        <f t="shared" si="1019"/>
        <v>4102</v>
      </c>
      <c r="K97" s="50">
        <f t="shared" si="1019"/>
        <v>2720</v>
      </c>
      <c r="L97" s="50">
        <f t="shared" si="1019"/>
        <v>10368</v>
      </c>
      <c r="M97" s="177"/>
      <c r="N97" s="107">
        <f t="shared" si="930"/>
        <v>0.17280000000000001</v>
      </c>
      <c r="O97" s="52">
        <f t="shared" si="931"/>
        <v>12760.615384615383</v>
      </c>
      <c r="P97" s="52">
        <f t="shared" si="932"/>
        <v>10208.492307692308</v>
      </c>
      <c r="Q97" s="52">
        <f t="shared" si="933"/>
        <v>5104.2461538461539</v>
      </c>
      <c r="R97" s="52">
        <f t="shared" si="934"/>
        <v>4083.3969230769235</v>
      </c>
      <c r="S97" s="52">
        <f t="shared" si="4"/>
        <v>15312.738461538462</v>
      </c>
      <c r="T97" s="3"/>
      <c r="U97" s="58">
        <f t="shared" si="935"/>
        <v>10368</v>
      </c>
      <c r="V97" s="56">
        <f t="shared" si="936"/>
        <v>0.17280000000000001</v>
      </c>
      <c r="W97" s="110">
        <f t="shared" si="937"/>
        <v>0.69120000000000004</v>
      </c>
      <c r="X97" s="3"/>
      <c r="Y97" s="57">
        <v>4</v>
      </c>
      <c r="Z97" s="58">
        <f t="shared" si="938"/>
        <v>41472</v>
      </c>
      <c r="AA97" s="58">
        <f t="shared" si="939"/>
        <v>33177.599999999999</v>
      </c>
      <c r="AB97" s="58">
        <f t="shared" si="940"/>
        <v>46576.24615384615</v>
      </c>
      <c r="AC97" s="50">
        <f>(AC87*4)+(AC86*2)</f>
        <v>39589.809230769228</v>
      </c>
      <c r="AD97" s="58">
        <f t="shared" si="941"/>
        <v>33177.599999999999</v>
      </c>
      <c r="AE97" s="58">
        <f t="shared" si="942"/>
        <v>1063.3846153846152</v>
      </c>
      <c r="AF97" s="58">
        <f t="shared" si="943"/>
        <v>32114.215384615381</v>
      </c>
      <c r="AG97" s="3"/>
      <c r="AH97" s="58">
        <f t="shared" si="850"/>
        <v>10368</v>
      </c>
      <c r="AI97" s="51">
        <f t="shared" ref="AI97:AJ97" si="1020">AI86*2+AI87*4</f>
        <v>10368</v>
      </c>
      <c r="AJ97" s="58">
        <f t="shared" si="1020"/>
        <v>27648</v>
      </c>
      <c r="AK97" s="58">
        <f t="shared" si="999"/>
        <v>48384</v>
      </c>
      <c r="AL97" s="58">
        <f>AL87*4+AL86*2</f>
        <v>124416</v>
      </c>
      <c r="AM97" s="59">
        <f t="shared" si="945"/>
        <v>0.3888888888888889</v>
      </c>
      <c r="AN97" s="32"/>
      <c r="AO97" s="50">
        <f t="shared" ref="AO97:AP97" si="1021">AO86*2+AO87*4</f>
        <v>800</v>
      </c>
      <c r="AP97" s="60">
        <f t="shared" si="1021"/>
        <v>336</v>
      </c>
      <c r="AQ97" s="55">
        <f t="shared" si="947"/>
        <v>1136</v>
      </c>
      <c r="AR97" s="3"/>
      <c r="AS97" s="50">
        <f>(AS87*4)+(AS86*2)</f>
        <v>32</v>
      </c>
      <c r="AT97" s="3"/>
      <c r="AU97" s="58">
        <v>41</v>
      </c>
      <c r="AV97" s="58">
        <v>78</v>
      </c>
      <c r="AW97" s="58">
        <v>121</v>
      </c>
      <c r="AX97" s="62">
        <f>AX86*2+AX87*4</f>
        <v>809.20975609756101</v>
      </c>
      <c r="AY97" s="62">
        <f t="shared" si="948"/>
        <v>425.35384615384612</v>
      </c>
      <c r="AZ97" s="62">
        <f t="shared" si="949"/>
        <v>12.8125</v>
      </c>
      <c r="BA97" s="62">
        <f t="shared" si="950"/>
        <v>24.375000000000004</v>
      </c>
      <c r="BB97" s="3"/>
      <c r="BC97" s="58" t="s">
        <v>89</v>
      </c>
      <c r="BD97" s="58">
        <f t="shared" si="951"/>
        <v>10368</v>
      </c>
      <c r="BE97" s="50">
        <f t="shared" ref="BE97:BF97" si="1022">(BE87*4)+(BE86*2)</f>
        <v>35250.412307692306</v>
      </c>
      <c r="BF97" s="50" t="e" vm="2">
        <f t="shared" si="1022"/>
        <v>#VALUE!</v>
      </c>
      <c r="BG97" s="58" t="e" vm="2">
        <f t="shared" si="953"/>
        <v>#VALUE!</v>
      </c>
      <c r="BH97" s="58">
        <f t="shared" si="954"/>
        <v>5104.2461538461539</v>
      </c>
      <c r="BI97" s="50" t="e" vm="2">
        <f t="shared" ref="BI97:BJ97" si="1023">(BI87*4)+(BI86*2)</f>
        <v>#VALUE!</v>
      </c>
      <c r="BJ97" s="50">
        <f t="shared" si="1023"/>
        <v>489.35384615384618</v>
      </c>
      <c r="BK97" s="64">
        <v>0.18</v>
      </c>
      <c r="BL97" s="50">
        <f t="shared" ref="BL97:BR97" si="1024">(BL87*4)+(BL86*2)</f>
        <v>5971.9679999999998</v>
      </c>
      <c r="BM97" s="50">
        <f t="shared" si="1024"/>
        <v>26563.347692307696</v>
      </c>
      <c r="BN97" s="50">
        <f t="shared" si="1024"/>
        <v>16716.406153846154</v>
      </c>
      <c r="BO97" s="50">
        <f t="shared" si="1024"/>
        <v>1701.4153846153847</v>
      </c>
      <c r="BP97" s="50">
        <f t="shared" si="1024"/>
        <v>35250.412307692306</v>
      </c>
      <c r="BQ97" s="50">
        <f t="shared" si="1024"/>
        <v>128</v>
      </c>
      <c r="BR97" s="50" t="e" vm="2">
        <f t="shared" si="1024"/>
        <v>#VALUE!</v>
      </c>
      <c r="BS97" s="26"/>
      <c r="BT97" s="50">
        <f t="shared" ref="BT97:BW97" si="1025">(BT87*4)+(BT86*2)</f>
        <v>18579.456000000002</v>
      </c>
      <c r="BU97" s="50">
        <f t="shared" si="1025"/>
        <v>189444.09600000002</v>
      </c>
      <c r="BV97" s="50">
        <f t="shared" si="1025"/>
        <v>24245.169230769236</v>
      </c>
      <c r="BW97" s="50">
        <f t="shared" si="1025"/>
        <v>11909.907692307694</v>
      </c>
      <c r="BX97" s="50"/>
      <c r="BY97" s="50">
        <f>(BY87*4)+(BY86*2)</f>
        <v>32</v>
      </c>
      <c r="BZ97" s="3"/>
      <c r="CA97" s="65">
        <f t="shared" si="958"/>
        <v>416577.94559999998</v>
      </c>
      <c r="CB97" s="68">
        <v>15</v>
      </c>
      <c r="CC97" s="65">
        <f t="shared" si="959"/>
        <v>497679</v>
      </c>
      <c r="CD97" s="66">
        <f t="shared" si="960"/>
        <v>261.93013338139866</v>
      </c>
      <c r="CE97" s="67">
        <f t="shared" si="961"/>
        <v>0.19043520798128413</v>
      </c>
      <c r="CF97" s="65" t="e">
        <f t="shared" si="962"/>
        <v>#DIV/0!</v>
      </c>
      <c r="CG97" s="50">
        <f>(CG87*4)+(CG86*2)</f>
        <v>16626.797779789085</v>
      </c>
      <c r="CH97" s="68">
        <v>30</v>
      </c>
      <c r="CI97" s="65">
        <f t="shared" si="963"/>
        <v>995343</v>
      </c>
      <c r="CJ97" s="66">
        <f t="shared" si="964"/>
        <v>523.85855443403022</v>
      </c>
      <c r="CK97" s="67">
        <f t="shared" si="965"/>
        <v>0.2051836583998346</v>
      </c>
      <c r="CL97" s="65" t="e">
        <f t="shared" si="966"/>
        <v>#DIV/0!</v>
      </c>
      <c r="CM97" s="50">
        <f>(CM87*4)+(CM86*2)</f>
        <v>17914.477223490401</v>
      </c>
      <c r="CN97" s="68">
        <v>70</v>
      </c>
      <c r="CO97" s="65">
        <f t="shared" si="967"/>
        <v>2322447</v>
      </c>
      <c r="CP97" s="66">
        <f t="shared" si="968"/>
        <v>1222.3343439077144</v>
      </c>
      <c r="CQ97" s="67">
        <f t="shared" si="969"/>
        <v>0.27080102491947522</v>
      </c>
      <c r="CR97" s="65" t="e">
        <f t="shared" si="970"/>
        <v>#DIV/0!</v>
      </c>
      <c r="CS97" s="50">
        <f>(CS87*4)+(CS86*2)</f>
        <v>23643.494958864161</v>
      </c>
      <c r="CT97" s="69">
        <v>3.05</v>
      </c>
      <c r="CU97" s="3"/>
      <c r="CV97" s="65">
        <f t="shared" si="971"/>
        <v>416577.94559999998</v>
      </c>
      <c r="CW97" s="65">
        <v>15</v>
      </c>
      <c r="CX97" s="65">
        <f t="shared" si="972"/>
        <v>497679</v>
      </c>
      <c r="CY97" s="66">
        <f t="shared" si="973"/>
        <v>261.93013338139866</v>
      </c>
      <c r="CZ97" s="67">
        <f t="shared" si="974"/>
        <v>1.4547909155481535</v>
      </c>
      <c r="DA97" s="65" t="e">
        <f t="shared" si="975"/>
        <v>#DIV/0!</v>
      </c>
      <c r="DB97" s="50">
        <f>(DB87*4)+(DB86*2)</f>
        <v>127017.02915708005</v>
      </c>
      <c r="DC97" s="68">
        <v>30</v>
      </c>
      <c r="DD97" s="65">
        <f t="shared" si="976"/>
        <v>995343</v>
      </c>
      <c r="DE97" s="66">
        <f t="shared" si="977"/>
        <v>523.85855443403022</v>
      </c>
      <c r="DF97" s="67">
        <f t="shared" si="978"/>
        <v>1.4813470823879324</v>
      </c>
      <c r="DG97" s="65" t="e">
        <f t="shared" si="979"/>
        <v>#DIV/0!</v>
      </c>
      <c r="DH97" s="50">
        <f>(DH87*4)+(DH86*2)</f>
        <v>129335.63410693122</v>
      </c>
      <c r="DI97" s="68">
        <v>70</v>
      </c>
      <c r="DJ97" s="65">
        <f t="shared" si="980"/>
        <v>2322447</v>
      </c>
      <c r="DK97" s="66">
        <f t="shared" si="981"/>
        <v>1222.3343439077144</v>
      </c>
      <c r="DL97" s="67">
        <f t="shared" si="982"/>
        <v>1.5741460776633069</v>
      </c>
      <c r="DM97" s="65" t="e">
        <f t="shared" si="983"/>
        <v>#DIV/0!</v>
      </c>
      <c r="DN97" s="50">
        <f>(DN87*4)+(DN86*2)</f>
        <v>137437.86554284772</v>
      </c>
      <c r="DO97" s="69">
        <v>3.9</v>
      </c>
      <c r="DP97" s="7"/>
      <c r="DQ97" s="65">
        <f t="shared" si="984"/>
        <v>416577.94559999998</v>
      </c>
      <c r="DR97" s="65">
        <v>15</v>
      </c>
      <c r="DS97" s="65">
        <f t="shared" si="985"/>
        <v>497679</v>
      </c>
      <c r="DT97" s="66">
        <f t="shared" si="986"/>
        <v>261.93013338139866</v>
      </c>
      <c r="DU97" s="67">
        <f t="shared" si="987"/>
        <v>0.10664417342757981</v>
      </c>
      <c r="DV97" s="65">
        <f t="shared" si="988"/>
        <v>291.03348153488741</v>
      </c>
      <c r="DW97" s="50">
        <f>(DW87*4)+(DW86*2)</f>
        <v>17602.973772690904</v>
      </c>
      <c r="DX97" s="68">
        <v>30</v>
      </c>
      <c r="DY97" s="65">
        <f t="shared" si="989"/>
        <v>995343</v>
      </c>
      <c r="DZ97" s="66">
        <f t="shared" si="990"/>
        <v>523.85855443403022</v>
      </c>
      <c r="EA97" s="67">
        <f t="shared" si="991"/>
        <v>0.11628821864932572</v>
      </c>
      <c r="EB97" s="65">
        <f t="shared" si="992"/>
        <v>582.06506048225583</v>
      </c>
      <c r="EC97" s="50">
        <f>(EC87*4)+(EC86*2)</f>
        <v>19194.845786367507</v>
      </c>
      <c r="ED97" s="68">
        <v>70</v>
      </c>
      <c r="EE97" s="65">
        <f t="shared" si="993"/>
        <v>2322447</v>
      </c>
      <c r="EF97" s="66">
        <f t="shared" si="994"/>
        <v>1222.3343439077144</v>
      </c>
      <c r="EG97" s="67">
        <f t="shared" si="995"/>
        <v>0.16517634830944508</v>
      </c>
      <c r="EH97" s="65">
        <f t="shared" si="996"/>
        <v>1358.1492710085715</v>
      </c>
      <c r="EI97" s="50">
        <f>(EI87*4)+(EI86*2)</f>
        <v>27264.451809310667</v>
      </c>
      <c r="EJ97" s="69">
        <v>3.9</v>
      </c>
    </row>
    <row r="98" spans="1:140">
      <c r="A98" s="48" t="str">
        <f t="shared" si="0"/>
        <v>PmSa</v>
      </c>
      <c r="B98" s="49">
        <v>412</v>
      </c>
      <c r="C98" s="48" t="s">
        <v>90</v>
      </c>
      <c r="D98" s="48" t="s">
        <v>81</v>
      </c>
      <c r="E98" s="48" t="s">
        <v>85</v>
      </c>
      <c r="F98" s="3"/>
      <c r="G98" s="50">
        <v>60000</v>
      </c>
      <c r="H98" s="50">
        <f t="shared" ref="H98:L98" si="1026">(H88*4)+(H86*2)</f>
        <v>48422</v>
      </c>
      <c r="I98" s="50">
        <f t="shared" si="1026"/>
        <v>5384</v>
      </c>
      <c r="J98" s="50">
        <f t="shared" si="1026"/>
        <v>3554</v>
      </c>
      <c r="K98" s="50">
        <f t="shared" si="1026"/>
        <v>2640</v>
      </c>
      <c r="L98" s="50">
        <f t="shared" si="1026"/>
        <v>10368</v>
      </c>
      <c r="M98" s="179"/>
      <c r="N98" s="107">
        <f t="shared" si="930"/>
        <v>0.17280000000000001</v>
      </c>
      <c r="O98" s="52">
        <f t="shared" si="931"/>
        <v>12760.615384615383</v>
      </c>
      <c r="P98" s="52">
        <f t="shared" si="932"/>
        <v>10208.492307692308</v>
      </c>
      <c r="Q98" s="52">
        <f t="shared" si="933"/>
        <v>5104.2461538461539</v>
      </c>
      <c r="R98" s="52">
        <f t="shared" si="934"/>
        <v>4083.3969230769235</v>
      </c>
      <c r="S98" s="52">
        <f t="shared" si="4"/>
        <v>15312.738461538462</v>
      </c>
      <c r="T98" s="3"/>
      <c r="U98" s="58">
        <f t="shared" si="935"/>
        <v>10368</v>
      </c>
      <c r="V98" s="56">
        <f t="shared" si="936"/>
        <v>0.17280000000000001</v>
      </c>
      <c r="W98" s="110">
        <f t="shared" si="937"/>
        <v>0.69120000000000004</v>
      </c>
      <c r="X98" s="3"/>
      <c r="Y98" s="57">
        <v>4</v>
      </c>
      <c r="Z98" s="58">
        <f t="shared" si="938"/>
        <v>41472</v>
      </c>
      <c r="AA98" s="58">
        <f t="shared" si="939"/>
        <v>33177.599999999999</v>
      </c>
      <c r="AB98" s="58">
        <f t="shared" si="940"/>
        <v>46576.24615384615</v>
      </c>
      <c r="AC98" s="50">
        <f>(AC88*4)+(AC86*2)</f>
        <v>39589.809230769228</v>
      </c>
      <c r="AD98" s="58">
        <f t="shared" si="941"/>
        <v>33177.599999999999</v>
      </c>
      <c r="AE98" s="58">
        <f t="shared" si="942"/>
        <v>1063.3846153846152</v>
      </c>
      <c r="AF98" s="58">
        <f t="shared" si="943"/>
        <v>32114.215384615381</v>
      </c>
      <c r="AG98" s="3"/>
      <c r="AH98" s="58">
        <f t="shared" si="850"/>
        <v>10368</v>
      </c>
      <c r="AI98" s="50">
        <f t="shared" ref="AI98:AJ98" si="1027">AI86*2+AI88*4</f>
        <v>10368</v>
      </c>
      <c r="AJ98" s="58">
        <f t="shared" si="1027"/>
        <v>27648</v>
      </c>
      <c r="AK98" s="58">
        <f t="shared" si="999"/>
        <v>48384</v>
      </c>
      <c r="AL98" s="58">
        <f>AL86*2+AL88*4</f>
        <v>124416</v>
      </c>
      <c r="AM98" s="59">
        <f t="shared" si="945"/>
        <v>0.3888888888888889</v>
      </c>
      <c r="AN98" s="32"/>
      <c r="AO98" s="50">
        <f t="shared" ref="AO98:AP98" si="1028">AO86*2+AO88*4</f>
        <v>760</v>
      </c>
      <c r="AP98" s="60">
        <f t="shared" si="1028"/>
        <v>336</v>
      </c>
      <c r="AQ98" s="55">
        <f t="shared" si="947"/>
        <v>1096</v>
      </c>
      <c r="AR98" s="3"/>
      <c r="AS98" s="50">
        <f>(AS88*4)+(AS86*2)</f>
        <v>32</v>
      </c>
      <c r="AT98" s="3"/>
      <c r="AU98" s="58">
        <v>41</v>
      </c>
      <c r="AV98" s="58">
        <v>78</v>
      </c>
      <c r="AW98" s="58">
        <v>121</v>
      </c>
      <c r="AX98" s="62">
        <f>AX86*2+AX88*4</f>
        <v>809.20975609756101</v>
      </c>
      <c r="AY98" s="62">
        <f t="shared" si="948"/>
        <v>425.35384615384612</v>
      </c>
      <c r="AZ98" s="62">
        <f t="shared" si="949"/>
        <v>12.8125</v>
      </c>
      <c r="BA98" s="62">
        <f t="shared" si="950"/>
        <v>24.375000000000004</v>
      </c>
      <c r="BB98" s="3"/>
      <c r="BC98" s="58" t="s">
        <v>89</v>
      </c>
      <c r="BD98" s="58">
        <f t="shared" si="951"/>
        <v>10368</v>
      </c>
      <c r="BE98" s="50">
        <f t="shared" ref="BE98:BF98" si="1029">(BE88*4)+(BE86*2)</f>
        <v>35250.412307692306</v>
      </c>
      <c r="BF98" s="50" t="e" vm="2">
        <f t="shared" si="1029"/>
        <v>#VALUE!</v>
      </c>
      <c r="BG98" s="58" t="e" vm="2">
        <f t="shared" si="953"/>
        <v>#VALUE!</v>
      </c>
      <c r="BH98" s="58">
        <f t="shared" si="954"/>
        <v>5104.2461538461539</v>
      </c>
      <c r="BI98" s="50" t="e" vm="2">
        <f t="shared" ref="BI98:BJ98" si="1030">(BI88*4)+(BI86*2)</f>
        <v>#VALUE!</v>
      </c>
      <c r="BJ98" s="50">
        <f t="shared" si="1030"/>
        <v>489.35384615384618</v>
      </c>
      <c r="BK98" s="64">
        <v>0.18</v>
      </c>
      <c r="BL98" s="50">
        <f t="shared" ref="BL98:BR98" si="1031">(BL88*4)+(BL86*2)</f>
        <v>5971.9679999999998</v>
      </c>
      <c r="BM98" s="50">
        <f t="shared" si="1031"/>
        <v>26563.347692307696</v>
      </c>
      <c r="BN98" s="50">
        <f t="shared" si="1031"/>
        <v>16716.406153846154</v>
      </c>
      <c r="BO98" s="50">
        <f t="shared" si="1031"/>
        <v>1701.4153846153847</v>
      </c>
      <c r="BP98" s="50">
        <f t="shared" si="1031"/>
        <v>35250.412307692306</v>
      </c>
      <c r="BQ98" s="50">
        <f t="shared" si="1031"/>
        <v>128</v>
      </c>
      <c r="BR98" s="50" t="e" vm="2">
        <f t="shared" si="1031"/>
        <v>#VALUE!</v>
      </c>
      <c r="BS98" s="26"/>
      <c r="BT98" s="50">
        <f t="shared" ref="BT98:BW98" si="1032">(BT88*4)+(BT86*2)</f>
        <v>18579.456000000002</v>
      </c>
      <c r="BU98" s="50">
        <f t="shared" si="1032"/>
        <v>189444.09600000002</v>
      </c>
      <c r="BV98" s="50">
        <f t="shared" si="1032"/>
        <v>24245.169230769236</v>
      </c>
      <c r="BW98" s="50">
        <f t="shared" si="1032"/>
        <v>11909.907692307694</v>
      </c>
      <c r="BX98" s="50"/>
      <c r="BY98" s="50">
        <f>(BY88*4)+(BY86*2)</f>
        <v>32</v>
      </c>
      <c r="BZ98" s="3"/>
      <c r="CA98" s="65">
        <f t="shared" si="958"/>
        <v>416577.94559999998</v>
      </c>
      <c r="CB98" s="68">
        <v>15</v>
      </c>
      <c r="CC98" s="65">
        <f t="shared" si="959"/>
        <v>497679</v>
      </c>
      <c r="CD98" s="66">
        <f t="shared" si="960"/>
        <v>261.93013338139866</v>
      </c>
      <c r="CE98" s="67">
        <f t="shared" si="961"/>
        <v>0.19043520798128413</v>
      </c>
      <c r="CF98" s="65" t="e">
        <f t="shared" si="962"/>
        <v>#DIV/0!</v>
      </c>
      <c r="CG98" s="50">
        <f>(CG88*4)+(CG86*2)</f>
        <v>16626.797779789085</v>
      </c>
      <c r="CH98" s="68">
        <v>30</v>
      </c>
      <c r="CI98" s="65">
        <f t="shared" si="963"/>
        <v>995343</v>
      </c>
      <c r="CJ98" s="66">
        <f t="shared" si="964"/>
        <v>523.85855443403022</v>
      </c>
      <c r="CK98" s="67">
        <f t="shared" si="965"/>
        <v>0.2051836583998346</v>
      </c>
      <c r="CL98" s="65" t="e">
        <f t="shared" si="966"/>
        <v>#DIV/0!</v>
      </c>
      <c r="CM98" s="50">
        <f>(CM88*4)+(CM86*2)</f>
        <v>17914.477223490401</v>
      </c>
      <c r="CN98" s="68">
        <v>70</v>
      </c>
      <c r="CO98" s="65">
        <f t="shared" si="967"/>
        <v>2322447</v>
      </c>
      <c r="CP98" s="66">
        <f t="shared" si="968"/>
        <v>1222.3343439077144</v>
      </c>
      <c r="CQ98" s="67">
        <f t="shared" si="969"/>
        <v>0.27080102491947522</v>
      </c>
      <c r="CR98" s="65" t="e">
        <f t="shared" si="970"/>
        <v>#DIV/0!</v>
      </c>
      <c r="CS98" s="50">
        <f>(CS88*4)+(CS86*2)</f>
        <v>23643.494958864161</v>
      </c>
      <c r="CT98" s="69">
        <v>3.05</v>
      </c>
      <c r="CU98" s="3"/>
      <c r="CV98" s="65">
        <f t="shared" si="971"/>
        <v>416577.94559999998</v>
      </c>
      <c r="CW98" s="65">
        <v>15</v>
      </c>
      <c r="CX98" s="65">
        <f t="shared" si="972"/>
        <v>497679</v>
      </c>
      <c r="CY98" s="66">
        <f t="shared" si="973"/>
        <v>261.93013338139866</v>
      </c>
      <c r="CZ98" s="67">
        <f t="shared" si="974"/>
        <v>1.453968442590823</v>
      </c>
      <c r="DA98" s="65" t="e">
        <f t="shared" si="975"/>
        <v>#DIV/0!</v>
      </c>
      <c r="DB98" s="50">
        <f>(DB88*4)+(DB86*2)</f>
        <v>126945.21947605602</v>
      </c>
      <c r="DC98" s="68">
        <v>30</v>
      </c>
      <c r="DD98" s="65">
        <f t="shared" si="976"/>
        <v>995343</v>
      </c>
      <c r="DE98" s="66">
        <f t="shared" si="977"/>
        <v>523.85855443403022</v>
      </c>
      <c r="DF98" s="67">
        <f t="shared" si="978"/>
        <v>1.4805246094306019</v>
      </c>
      <c r="DG98" s="65" t="e">
        <f t="shared" si="979"/>
        <v>#DIV/0!</v>
      </c>
      <c r="DH98" s="50">
        <f>(DH88*4)+(DH86*2)</f>
        <v>129263.82442590719</v>
      </c>
      <c r="DI98" s="68">
        <v>70</v>
      </c>
      <c r="DJ98" s="65">
        <f t="shared" si="980"/>
        <v>2322447</v>
      </c>
      <c r="DK98" s="66">
        <f t="shared" si="981"/>
        <v>1222.3343439077144</v>
      </c>
      <c r="DL98" s="67">
        <f t="shared" si="982"/>
        <v>1.5733236047059764</v>
      </c>
      <c r="DM98" s="65" t="e">
        <f t="shared" si="983"/>
        <v>#DIV/0!</v>
      </c>
      <c r="DN98" s="50">
        <f>(DN88*4)+(DN86*2)</f>
        <v>137366.0558618237</v>
      </c>
      <c r="DO98" s="69">
        <v>3.9</v>
      </c>
      <c r="DP98" s="7"/>
      <c r="DQ98" s="65">
        <f t="shared" si="984"/>
        <v>416577.94559999998</v>
      </c>
      <c r="DR98" s="65">
        <v>15</v>
      </c>
      <c r="DS98" s="65">
        <f t="shared" si="985"/>
        <v>497679</v>
      </c>
      <c r="DT98" s="66">
        <f t="shared" si="986"/>
        <v>261.93013338139866</v>
      </c>
      <c r="DU98" s="67">
        <f t="shared" si="987"/>
        <v>0.10662034779464064</v>
      </c>
      <c r="DV98" s="65">
        <f t="shared" si="988"/>
        <v>291.03348153488741</v>
      </c>
      <c r="DW98" s="50">
        <f>(DW88*4)+(DW86*2)</f>
        <v>17599.041049708801</v>
      </c>
      <c r="DX98" s="68">
        <v>30</v>
      </c>
      <c r="DY98" s="65">
        <f t="shared" si="989"/>
        <v>995343</v>
      </c>
      <c r="DZ98" s="66">
        <f t="shared" si="990"/>
        <v>523.85855443403022</v>
      </c>
      <c r="EA98" s="67">
        <f t="shared" si="991"/>
        <v>0.11584473715064549</v>
      </c>
      <c r="EB98" s="65">
        <f t="shared" si="992"/>
        <v>582.06506048225583</v>
      </c>
      <c r="EC98" s="50">
        <f>(EC88*4)+(EC86*2)</f>
        <v>19121.643538752516</v>
      </c>
      <c r="ED98" s="68">
        <v>70</v>
      </c>
      <c r="EE98" s="65">
        <f t="shared" si="993"/>
        <v>2322447</v>
      </c>
      <c r="EF98" s="66">
        <f t="shared" si="994"/>
        <v>1222.3343439077144</v>
      </c>
      <c r="EG98" s="67">
        <f t="shared" si="995"/>
        <v>0.1651525226765059</v>
      </c>
      <c r="EH98" s="65">
        <f t="shared" si="996"/>
        <v>1358.1492710085715</v>
      </c>
      <c r="EI98" s="50">
        <f>(EI88*4)+(EI86*2)</f>
        <v>27260.519086328568</v>
      </c>
      <c r="EJ98" s="69">
        <v>3.9</v>
      </c>
    </row>
    <row r="99" spans="1:140">
      <c r="A99" s="70" t="str">
        <f t="shared" si="0"/>
        <v>PhGi</v>
      </c>
      <c r="B99" s="71">
        <v>420</v>
      </c>
      <c r="C99" s="70" t="s">
        <v>90</v>
      </c>
      <c r="D99" s="70" t="s">
        <v>82</v>
      </c>
      <c r="E99" s="70" t="s">
        <v>83</v>
      </c>
      <c r="F99" s="3"/>
      <c r="G99" s="72">
        <v>60000</v>
      </c>
      <c r="H99" s="72">
        <f t="shared" ref="H99:L99" si="1033">H89*6</f>
        <v>43350</v>
      </c>
      <c r="I99" s="72">
        <f t="shared" si="1033"/>
        <v>6984</v>
      </c>
      <c r="J99" s="72">
        <f t="shared" si="1033"/>
        <v>5586</v>
      </c>
      <c r="K99" s="72">
        <f t="shared" si="1033"/>
        <v>4080</v>
      </c>
      <c r="L99" s="72">
        <f t="shared" si="1033"/>
        <v>15552</v>
      </c>
      <c r="M99" s="123"/>
      <c r="N99" s="91">
        <f t="shared" si="930"/>
        <v>0.25919999999999999</v>
      </c>
      <c r="O99" s="124">
        <f t="shared" si="931"/>
        <v>23926.153846153848</v>
      </c>
      <c r="P99" s="124">
        <f t="shared" si="932"/>
        <v>19140.923076923078</v>
      </c>
      <c r="Q99" s="124">
        <f t="shared" si="933"/>
        <v>9570.461538461539</v>
      </c>
      <c r="R99" s="124">
        <f t="shared" si="934"/>
        <v>7656.3692307692318</v>
      </c>
      <c r="S99" s="72">
        <f t="shared" si="4"/>
        <v>28711.384615384617</v>
      </c>
      <c r="T99" s="3"/>
      <c r="U99" s="77">
        <f t="shared" si="935"/>
        <v>15552</v>
      </c>
      <c r="V99" s="78">
        <f t="shared" si="936"/>
        <v>0.25919999999999999</v>
      </c>
      <c r="W99" s="111">
        <f t="shared" si="937"/>
        <v>1.296</v>
      </c>
      <c r="X99" s="3"/>
      <c r="Y99" s="79">
        <v>5</v>
      </c>
      <c r="Z99" s="77">
        <f t="shared" si="938"/>
        <v>77760</v>
      </c>
      <c r="AA99" s="77">
        <f t="shared" si="939"/>
        <v>62208</v>
      </c>
      <c r="AB99" s="77">
        <f t="shared" si="940"/>
        <v>87330.461538461532</v>
      </c>
      <c r="AC99" s="72">
        <f>AC89*6</f>
        <v>74230.892307692309</v>
      </c>
      <c r="AD99" s="77">
        <f t="shared" si="941"/>
        <v>62208</v>
      </c>
      <c r="AE99" s="77">
        <f t="shared" si="942"/>
        <v>1993.8461538461538</v>
      </c>
      <c r="AF99" s="77">
        <f t="shared" si="943"/>
        <v>60214.153846153844</v>
      </c>
      <c r="AG99" s="3"/>
      <c r="AH99" s="77">
        <f t="shared" si="850"/>
        <v>15552</v>
      </c>
      <c r="AI99" s="72">
        <f t="shared" ref="AI99:AL99" si="1034">AI89*6</f>
        <v>15552</v>
      </c>
      <c r="AJ99" s="77">
        <f t="shared" si="1034"/>
        <v>51840</v>
      </c>
      <c r="AK99" s="77">
        <f t="shared" si="1034"/>
        <v>82944</v>
      </c>
      <c r="AL99" s="77">
        <f t="shared" si="1034"/>
        <v>233280</v>
      </c>
      <c r="AM99" s="80">
        <f t="shared" si="945"/>
        <v>0.35555555555555557</v>
      </c>
      <c r="AN99" s="32"/>
      <c r="AO99" s="72">
        <f t="shared" ref="AO99:AP99" si="1035">AO89*6</f>
        <v>1200</v>
      </c>
      <c r="AP99" s="81">
        <f t="shared" si="1035"/>
        <v>504</v>
      </c>
      <c r="AQ99" s="82">
        <f t="shared" si="947"/>
        <v>1704</v>
      </c>
      <c r="AR99" s="3"/>
      <c r="AS99" s="72">
        <f>AS89*6</f>
        <v>48</v>
      </c>
      <c r="AT99" s="3"/>
      <c r="AU99" s="77">
        <v>41</v>
      </c>
      <c r="AV99" s="77">
        <v>78</v>
      </c>
      <c r="AW99" s="77">
        <v>121</v>
      </c>
      <c r="AX99" s="83">
        <f>AX89*6</f>
        <v>1517.2682926829268</v>
      </c>
      <c r="AY99" s="83">
        <f t="shared" si="948"/>
        <v>797.53846153846155</v>
      </c>
      <c r="AZ99" s="83">
        <f t="shared" si="949"/>
        <v>10.25</v>
      </c>
      <c r="BA99" s="83">
        <f t="shared" si="950"/>
        <v>19.5</v>
      </c>
      <c r="BB99" s="3"/>
      <c r="BC99" s="77" t="s">
        <v>89</v>
      </c>
      <c r="BD99" s="77">
        <f t="shared" si="951"/>
        <v>15552</v>
      </c>
      <c r="BE99" s="72">
        <f t="shared" ref="BE99:BF99" si="1036">BE89*6</f>
        <v>66094.523076923069</v>
      </c>
      <c r="BF99" s="72" t="e" vm="2">
        <f t="shared" si="1036"/>
        <v>#VALUE!</v>
      </c>
      <c r="BG99" s="77" t="e" vm="2">
        <f t="shared" si="953"/>
        <v>#VALUE!</v>
      </c>
      <c r="BH99" s="77">
        <f t="shared" si="954"/>
        <v>9570.461538461539</v>
      </c>
      <c r="BI99" s="72" t="e" vm="2">
        <f t="shared" ref="BI99:BJ99" si="1037">BI89*6</f>
        <v>#VALUE!</v>
      </c>
      <c r="BJ99" s="72">
        <f t="shared" si="1037"/>
        <v>893.53846153846166</v>
      </c>
      <c r="BK99" s="85">
        <v>0.18</v>
      </c>
      <c r="BL99" s="72">
        <f t="shared" ref="BL99:BR99" si="1038">BL89*6</f>
        <v>11197.44</v>
      </c>
      <c r="BM99" s="72">
        <f t="shared" si="1038"/>
        <v>49806.276923076934</v>
      </c>
      <c r="BN99" s="72">
        <f t="shared" si="1038"/>
        <v>31343.261538461538</v>
      </c>
      <c r="BO99" s="72">
        <f t="shared" si="1038"/>
        <v>3190.1538461538466</v>
      </c>
      <c r="BP99" s="72">
        <f t="shared" si="1038"/>
        <v>66094.523076923069</v>
      </c>
      <c r="BQ99" s="72">
        <f t="shared" si="1038"/>
        <v>240</v>
      </c>
      <c r="BR99" s="72" t="e" vm="2">
        <f t="shared" si="1038"/>
        <v>#VALUE!</v>
      </c>
      <c r="BS99" s="26"/>
      <c r="BT99" s="72">
        <f t="shared" ref="BT99:BW99" si="1039">BT89*6</f>
        <v>34836.480000000003</v>
      </c>
      <c r="BU99" s="72">
        <f t="shared" si="1039"/>
        <v>355207.67999999999</v>
      </c>
      <c r="BV99" s="72">
        <f t="shared" si="1039"/>
        <v>45459.692307692312</v>
      </c>
      <c r="BW99" s="72">
        <f t="shared" si="1039"/>
        <v>22331.076923076926</v>
      </c>
      <c r="BX99" s="72"/>
      <c r="BY99" s="72">
        <f>BY89*6</f>
        <v>48</v>
      </c>
      <c r="BZ99" s="3"/>
      <c r="CA99" s="86">
        <f t="shared" si="958"/>
        <v>781083.64800000004</v>
      </c>
      <c r="CB99" s="89">
        <v>15</v>
      </c>
      <c r="CC99" s="86">
        <f t="shared" si="959"/>
        <v>933135</v>
      </c>
      <c r="CD99" s="87">
        <f t="shared" si="960"/>
        <v>491.11750180245133</v>
      </c>
      <c r="CE99" s="88">
        <f t="shared" si="961"/>
        <v>0.18927558449729809</v>
      </c>
      <c r="CF99" s="86" t="e">
        <f t="shared" si="962"/>
        <v>#DIV/0!</v>
      </c>
      <c r="CG99" s="72">
        <f>CG89*6</f>
        <v>30985.409369494526</v>
      </c>
      <c r="CH99" s="89">
        <v>30</v>
      </c>
      <c r="CI99" s="86">
        <f t="shared" si="963"/>
        <v>1866255</v>
      </c>
      <c r="CJ99" s="87">
        <f t="shared" si="964"/>
        <v>982.23329127613556</v>
      </c>
      <c r="CK99" s="88">
        <f t="shared" si="965"/>
        <v>0.2057836843675154</v>
      </c>
      <c r="CL99" s="86" t="e">
        <f t="shared" si="966"/>
        <v>#DIV/0!</v>
      </c>
      <c r="CM99" s="72">
        <f>CM89*6</f>
        <v>33687.872202985258</v>
      </c>
      <c r="CN99" s="89">
        <v>70</v>
      </c>
      <c r="CO99" s="86">
        <f t="shared" si="967"/>
        <v>4354575</v>
      </c>
      <c r="CP99" s="87">
        <f t="shared" si="968"/>
        <v>2291.8753965392934</v>
      </c>
      <c r="CQ99" s="88">
        <f t="shared" si="969"/>
        <v>0.26759905392689037</v>
      </c>
      <c r="CR99" s="86" t="e">
        <f t="shared" si="970"/>
        <v>#DIV/0!</v>
      </c>
      <c r="CS99" s="72">
        <f>CS89*6</f>
        <v>43807.373543905254</v>
      </c>
      <c r="CT99" s="90">
        <v>3.05</v>
      </c>
      <c r="CU99" s="3"/>
      <c r="CV99" s="86">
        <f t="shared" si="971"/>
        <v>781083.64800000004</v>
      </c>
      <c r="CW99" s="86">
        <v>15</v>
      </c>
      <c r="CX99" s="86">
        <f t="shared" si="972"/>
        <v>933135</v>
      </c>
      <c r="CY99" s="87">
        <f t="shared" si="973"/>
        <v>491.11750180245133</v>
      </c>
      <c r="CZ99" s="88">
        <f t="shared" si="974"/>
        <v>1.2424211529605751</v>
      </c>
      <c r="DA99" s="86" t="e">
        <f t="shared" si="975"/>
        <v>#DIV/0!</v>
      </c>
      <c r="DB99" s="72">
        <f>DB89*6</f>
        <v>203390.88179834594</v>
      </c>
      <c r="DC99" s="89">
        <v>30</v>
      </c>
      <c r="DD99" s="86">
        <f t="shared" si="976"/>
        <v>1866255</v>
      </c>
      <c r="DE99" s="87">
        <f t="shared" si="977"/>
        <v>982.23329127613556</v>
      </c>
      <c r="DF99" s="88">
        <f t="shared" si="978"/>
        <v>1.2707377647598692</v>
      </c>
      <c r="DG99" s="86" t="e">
        <f t="shared" si="979"/>
        <v>#DIV/0!</v>
      </c>
      <c r="DH99" s="72">
        <f>DH89*6</f>
        <v>208026.46018468935</v>
      </c>
      <c r="DI99" s="89">
        <v>70</v>
      </c>
      <c r="DJ99" s="86">
        <f t="shared" si="980"/>
        <v>4354575</v>
      </c>
      <c r="DK99" s="87">
        <f t="shared" si="981"/>
        <v>2291.8753965392934</v>
      </c>
      <c r="DL99" s="88">
        <f t="shared" si="982"/>
        <v>1.3642284098422597</v>
      </c>
      <c r="DM99" s="86" t="e">
        <f t="shared" si="983"/>
        <v>#DIV/0!</v>
      </c>
      <c r="DN99" s="72">
        <f>DN89*6</f>
        <v>223331.37084070337</v>
      </c>
      <c r="DO99" s="90">
        <v>3.9</v>
      </c>
      <c r="DP99" s="7"/>
      <c r="DQ99" s="86">
        <f t="shared" si="984"/>
        <v>781083.64800000004</v>
      </c>
      <c r="DR99" s="86">
        <v>15</v>
      </c>
      <c r="DS99" s="86">
        <f t="shared" si="985"/>
        <v>933135</v>
      </c>
      <c r="DT99" s="87">
        <f t="shared" si="986"/>
        <v>491.11750180245133</v>
      </c>
      <c r="DU99" s="88">
        <f t="shared" si="987"/>
        <v>0.10498936545202184</v>
      </c>
      <c r="DV99" s="86">
        <f t="shared" si="988"/>
        <v>545.68611311383484</v>
      </c>
      <c r="DW99" s="72">
        <f>DW89*6</f>
        <v>32493.425104673508</v>
      </c>
      <c r="DX99" s="89">
        <v>30</v>
      </c>
      <c r="DY99" s="86">
        <f t="shared" si="989"/>
        <v>1866255</v>
      </c>
      <c r="DZ99" s="87">
        <f t="shared" si="990"/>
        <v>982.23329127613556</v>
      </c>
      <c r="EA99" s="88">
        <f t="shared" si="991"/>
        <v>0.11572648944971974</v>
      </c>
      <c r="EB99" s="86">
        <f t="shared" si="992"/>
        <v>1091.3703236401507</v>
      </c>
      <c r="EC99" s="72">
        <f>EC89*6</f>
        <v>35816.484854169976</v>
      </c>
      <c r="ED99" s="89">
        <v>70</v>
      </c>
      <c r="EE99" s="86">
        <f t="shared" si="993"/>
        <v>4354575</v>
      </c>
      <c r="EF99" s="87">
        <f t="shared" si="994"/>
        <v>2291.8753965392934</v>
      </c>
      <c r="EG99" s="88">
        <f t="shared" si="995"/>
        <v>0.15800815215290828</v>
      </c>
      <c r="EH99" s="86">
        <f t="shared" si="996"/>
        <v>2546.5282183769928</v>
      </c>
      <c r="EI99" s="72">
        <f>EI89*6</f>
        <v>48902.343926010537</v>
      </c>
      <c r="EJ99" s="90">
        <v>3.9</v>
      </c>
    </row>
    <row r="100" spans="1:140">
      <c r="A100" s="70" t="str">
        <f t="shared" si="0"/>
        <v>PhSc</v>
      </c>
      <c r="B100" s="71">
        <v>421</v>
      </c>
      <c r="C100" s="70" t="s">
        <v>90</v>
      </c>
      <c r="D100" s="70" t="s">
        <v>82</v>
      </c>
      <c r="E100" s="70" t="s">
        <v>84</v>
      </c>
      <c r="F100" s="3"/>
      <c r="G100" s="72">
        <v>60000</v>
      </c>
      <c r="H100" s="72">
        <f t="shared" ref="H100:L100" si="1040">(H90*4)+(H89*2)</f>
        <v>48450</v>
      </c>
      <c r="I100" s="72">
        <f t="shared" si="1040"/>
        <v>4728</v>
      </c>
      <c r="J100" s="72">
        <f t="shared" si="1040"/>
        <v>4102</v>
      </c>
      <c r="K100" s="72">
        <f t="shared" si="1040"/>
        <v>2720</v>
      </c>
      <c r="L100" s="72">
        <f t="shared" si="1040"/>
        <v>12960</v>
      </c>
      <c r="M100" s="183"/>
      <c r="N100" s="91">
        <f t="shared" si="930"/>
        <v>0.216</v>
      </c>
      <c r="O100" s="124">
        <f t="shared" si="931"/>
        <v>19938.461538461539</v>
      </c>
      <c r="P100" s="124">
        <f t="shared" si="932"/>
        <v>15950.769230769232</v>
      </c>
      <c r="Q100" s="124">
        <f t="shared" si="933"/>
        <v>7975.3846153846152</v>
      </c>
      <c r="R100" s="124">
        <f t="shared" si="934"/>
        <v>6380.3076923076924</v>
      </c>
      <c r="S100" s="72">
        <f t="shared" si="4"/>
        <v>23926.153846153844</v>
      </c>
      <c r="T100" s="3"/>
      <c r="U100" s="77">
        <f t="shared" si="935"/>
        <v>12960</v>
      </c>
      <c r="V100" s="78">
        <f t="shared" si="936"/>
        <v>0.216</v>
      </c>
      <c r="W100" s="111">
        <f t="shared" si="937"/>
        <v>1.08</v>
      </c>
      <c r="X100" s="3"/>
      <c r="Y100" s="79">
        <v>5</v>
      </c>
      <c r="Z100" s="77">
        <f t="shared" si="938"/>
        <v>64800</v>
      </c>
      <c r="AA100" s="77">
        <f t="shared" si="939"/>
        <v>51840</v>
      </c>
      <c r="AB100" s="77">
        <f t="shared" si="940"/>
        <v>72775.38461538461</v>
      </c>
      <c r="AC100" s="72">
        <f>(AC90*4)+(AC89*2)</f>
        <v>61859.076923076922</v>
      </c>
      <c r="AD100" s="77">
        <f t="shared" si="941"/>
        <v>51840</v>
      </c>
      <c r="AE100" s="77">
        <f t="shared" si="942"/>
        <v>1661.5384615384617</v>
      </c>
      <c r="AF100" s="77">
        <f t="shared" si="943"/>
        <v>50178.461538461539</v>
      </c>
      <c r="AG100" s="3"/>
      <c r="AH100" s="77">
        <f t="shared" si="850"/>
        <v>12960</v>
      </c>
      <c r="AI100" s="73">
        <f t="shared" ref="AI100:AJ100" si="1041">AI89*2+AI90*4</f>
        <v>12960</v>
      </c>
      <c r="AJ100" s="77">
        <f t="shared" si="1041"/>
        <v>43200</v>
      </c>
      <c r="AK100" s="77">
        <f t="shared" ref="AK100:AK101" si="1042">SUM(AH100:AJ100)</f>
        <v>69120</v>
      </c>
      <c r="AL100" s="77">
        <f>AL89*2+AL90*4</f>
        <v>194400</v>
      </c>
      <c r="AM100" s="80">
        <f t="shared" si="945"/>
        <v>0.35555555555555557</v>
      </c>
      <c r="AN100" s="32"/>
      <c r="AO100" s="72">
        <f t="shared" ref="AO100:AP100" si="1043">AO89*2+AO90*4</f>
        <v>800</v>
      </c>
      <c r="AP100" s="81">
        <f t="shared" si="1043"/>
        <v>420</v>
      </c>
      <c r="AQ100" s="82">
        <f t="shared" si="947"/>
        <v>1220</v>
      </c>
      <c r="AR100" s="3"/>
      <c r="AS100" s="72">
        <f>(AS90*4)+(AS89*2)</f>
        <v>40</v>
      </c>
      <c r="AT100" s="3"/>
      <c r="AU100" s="77">
        <v>41</v>
      </c>
      <c r="AV100" s="77">
        <v>78</v>
      </c>
      <c r="AW100" s="77">
        <v>121</v>
      </c>
      <c r="AX100" s="83">
        <f>AX89*2+AX90*4</f>
        <v>1264.3902439024391</v>
      </c>
      <c r="AY100" s="83">
        <f t="shared" si="948"/>
        <v>664.61538461538464</v>
      </c>
      <c r="AZ100" s="83">
        <f t="shared" si="949"/>
        <v>10.25</v>
      </c>
      <c r="BA100" s="83">
        <f t="shared" si="950"/>
        <v>19.5</v>
      </c>
      <c r="BB100" s="3"/>
      <c r="BC100" s="77" t="s">
        <v>89</v>
      </c>
      <c r="BD100" s="77">
        <f t="shared" si="951"/>
        <v>12960</v>
      </c>
      <c r="BE100" s="72">
        <f t="shared" ref="BE100:BF100" si="1044">(BE90*4)+(BE89*2)</f>
        <v>55078.769230769227</v>
      </c>
      <c r="BF100" s="72" t="e" vm="2">
        <f t="shared" si="1044"/>
        <v>#VALUE!</v>
      </c>
      <c r="BG100" s="77" t="e" vm="2">
        <f t="shared" si="953"/>
        <v>#VALUE!</v>
      </c>
      <c r="BH100" s="77">
        <f t="shared" si="954"/>
        <v>7975.3846153846152</v>
      </c>
      <c r="BI100" s="72" t="e" vm="2">
        <f t="shared" ref="BI100:BJ100" si="1045">(BI90*4)+(BI89*2)</f>
        <v>#VALUE!</v>
      </c>
      <c r="BJ100" s="72">
        <f t="shared" si="1045"/>
        <v>744.61538461538464</v>
      </c>
      <c r="BK100" s="85">
        <v>0.18</v>
      </c>
      <c r="BL100" s="72">
        <f t="shared" ref="BL100:BR100" si="1046">(BL90*4)+(BL89*2)</f>
        <v>9331.1999999999989</v>
      </c>
      <c r="BM100" s="72">
        <f t="shared" si="1046"/>
        <v>41505.230769230773</v>
      </c>
      <c r="BN100" s="72">
        <f t="shared" si="1046"/>
        <v>26119.384615384617</v>
      </c>
      <c r="BO100" s="72">
        <f t="shared" si="1046"/>
        <v>2658.4615384615386</v>
      </c>
      <c r="BP100" s="72">
        <f t="shared" si="1046"/>
        <v>55078.769230769227</v>
      </c>
      <c r="BQ100" s="72">
        <f t="shared" si="1046"/>
        <v>200</v>
      </c>
      <c r="BR100" s="72" t="e" vm="2">
        <f t="shared" si="1046"/>
        <v>#VALUE!</v>
      </c>
      <c r="BS100" s="26"/>
      <c r="BT100" s="72">
        <f t="shared" ref="BT100:BW100" si="1047">(BT90*4)+(BT89*2)</f>
        <v>29030.400000000001</v>
      </c>
      <c r="BU100" s="72">
        <f t="shared" si="1047"/>
        <v>296006.40000000002</v>
      </c>
      <c r="BV100" s="72">
        <f t="shared" si="1047"/>
        <v>37883.076923076922</v>
      </c>
      <c r="BW100" s="72">
        <f t="shared" si="1047"/>
        <v>18609.23076923077</v>
      </c>
      <c r="BX100" s="72"/>
      <c r="BY100" s="72">
        <f>(BY90*4)+(BY89*2)</f>
        <v>40</v>
      </c>
      <c r="BZ100" s="3"/>
      <c r="CA100" s="86">
        <f t="shared" si="958"/>
        <v>650903.04000000004</v>
      </c>
      <c r="CB100" s="89">
        <v>15</v>
      </c>
      <c r="CC100" s="86">
        <f t="shared" si="959"/>
        <v>777615</v>
      </c>
      <c r="CD100" s="87">
        <f t="shared" si="960"/>
        <v>409.26487022350392</v>
      </c>
      <c r="CE100" s="88">
        <f t="shared" si="961"/>
        <v>0.18721504120703114</v>
      </c>
      <c r="CF100" s="86" t="e">
        <f t="shared" si="962"/>
        <v>#DIV/0!</v>
      </c>
      <c r="CG100" s="72">
        <f>(CG90*4)+(CG89*2)</f>
        <v>25540.072989927616</v>
      </c>
      <c r="CH100" s="89">
        <v>30</v>
      </c>
      <c r="CI100" s="86">
        <f t="shared" si="963"/>
        <v>1555215</v>
      </c>
      <c r="CJ100" s="87">
        <f t="shared" si="964"/>
        <v>818.52802811824074</v>
      </c>
      <c r="CK100" s="88">
        <f t="shared" si="965"/>
        <v>0.20296565965332808</v>
      </c>
      <c r="CL100" s="86" t="e">
        <f t="shared" si="966"/>
        <v>#DIV/0!</v>
      </c>
      <c r="CM100" s="72">
        <f>(CM90*4)+(CM89*2)</f>
        <v>27688.78893796981</v>
      </c>
      <c r="CN100" s="89">
        <v>70</v>
      </c>
      <c r="CO100" s="86">
        <f t="shared" si="967"/>
        <v>3628815</v>
      </c>
      <c r="CP100" s="87">
        <f t="shared" si="968"/>
        <v>1909.8964491708723</v>
      </c>
      <c r="CQ100" s="88">
        <f t="shared" si="969"/>
        <v>0.25967772453559346</v>
      </c>
      <c r="CR100" s="86" t="e">
        <f t="shared" si="970"/>
        <v>#DIV/0!</v>
      </c>
      <c r="CS100" s="72">
        <f>(CS90*4)+(CS89*2)</f>
        <v>35425.508526118851</v>
      </c>
      <c r="CT100" s="90">
        <v>3.05</v>
      </c>
      <c r="CU100" s="3"/>
      <c r="CV100" s="86">
        <f t="shared" si="971"/>
        <v>650903.04000000004</v>
      </c>
      <c r="CW100" s="86">
        <v>15</v>
      </c>
      <c r="CX100" s="86">
        <f t="shared" si="972"/>
        <v>777615</v>
      </c>
      <c r="CY100" s="87">
        <f t="shared" si="973"/>
        <v>409.26487022350392</v>
      </c>
      <c r="CZ100" s="88">
        <f t="shared" si="974"/>
        <v>1.2378232137891627</v>
      </c>
      <c r="DA100" s="86" t="e">
        <f t="shared" si="975"/>
        <v>#DIV/0!</v>
      </c>
      <c r="DB100" s="72">
        <f>(DB90*4)+(DB89*2)</f>
        <v>168865.14579692157</v>
      </c>
      <c r="DC100" s="89">
        <v>30</v>
      </c>
      <c r="DD100" s="86">
        <f t="shared" si="976"/>
        <v>1555215</v>
      </c>
      <c r="DE100" s="87">
        <f t="shared" si="977"/>
        <v>818.52802811824074</v>
      </c>
      <c r="DF100" s="88">
        <f t="shared" si="978"/>
        <v>1.2653800818864505</v>
      </c>
      <c r="DG100" s="86" t="e">
        <f t="shared" si="979"/>
        <v>#DIV/0!</v>
      </c>
      <c r="DH100" s="72">
        <f>(DH90*4)+(DH89*2)</f>
        <v>172624.48274998314</v>
      </c>
      <c r="DI100" s="89">
        <v>70</v>
      </c>
      <c r="DJ100" s="86">
        <f t="shared" si="980"/>
        <v>3628815</v>
      </c>
      <c r="DK100" s="87">
        <f t="shared" si="981"/>
        <v>1909.8964491708723</v>
      </c>
      <c r="DL100" s="88">
        <f t="shared" si="982"/>
        <v>1.3503040125605992</v>
      </c>
      <c r="DM100" s="86" t="e">
        <f t="shared" si="983"/>
        <v>#DIV/0!</v>
      </c>
      <c r="DN100" s="72">
        <f>(DN90*4)+(DN89*2)</f>
        <v>184209.89476616174</v>
      </c>
      <c r="DO100" s="90">
        <v>3.9</v>
      </c>
      <c r="DP100" s="7"/>
      <c r="DQ100" s="86">
        <f t="shared" si="984"/>
        <v>650903.04000000004</v>
      </c>
      <c r="DR100" s="86">
        <v>15</v>
      </c>
      <c r="DS100" s="86">
        <f t="shared" si="985"/>
        <v>777615</v>
      </c>
      <c r="DT100" s="87">
        <f t="shared" si="986"/>
        <v>409.26487022350392</v>
      </c>
      <c r="DU100" s="88">
        <f t="shared" si="987"/>
        <v>0.10365498526449038</v>
      </c>
      <c r="DV100" s="86">
        <f t="shared" si="988"/>
        <v>454.73874469278212</v>
      </c>
      <c r="DW100" s="72">
        <f>(DW90*4)+(DW89*2)</f>
        <v>26733.703662244687</v>
      </c>
      <c r="DX100" s="89">
        <v>30</v>
      </c>
      <c r="DY100" s="86">
        <f t="shared" si="989"/>
        <v>1555215</v>
      </c>
      <c r="DZ100" s="87">
        <f t="shared" si="990"/>
        <v>818.52802811824074</v>
      </c>
      <c r="EA100" s="88">
        <f t="shared" si="991"/>
        <v>0.11307328650835528</v>
      </c>
      <c r="EB100" s="86">
        <f t="shared" si="992"/>
        <v>909.47558679804524</v>
      </c>
      <c r="EC100" s="72">
        <f>(EC90*4)+(EC89*2)</f>
        <v>29162.78195319969</v>
      </c>
      <c r="ED100" s="89">
        <v>70</v>
      </c>
      <c r="EE100" s="86">
        <f t="shared" si="993"/>
        <v>3628815</v>
      </c>
      <c r="EF100" s="87">
        <f t="shared" si="994"/>
        <v>1909.8964491708723</v>
      </c>
      <c r="EG100" s="88">
        <f t="shared" si="995"/>
        <v>0.15278472065540843</v>
      </c>
      <c r="EH100" s="86">
        <f t="shared" si="996"/>
        <v>2122.1071657454136</v>
      </c>
      <c r="EI100" s="72">
        <f>(EI90*4)+(EI89*2)</f>
        <v>39404.775715305339</v>
      </c>
      <c r="EJ100" s="90">
        <v>3.9</v>
      </c>
    </row>
    <row r="101" spans="1:140">
      <c r="A101" s="70" t="str">
        <f t="shared" si="0"/>
        <v>PhSa</v>
      </c>
      <c r="B101" s="71">
        <v>422</v>
      </c>
      <c r="C101" s="70" t="s">
        <v>90</v>
      </c>
      <c r="D101" s="70" t="s">
        <v>82</v>
      </c>
      <c r="E101" s="70" t="s">
        <v>85</v>
      </c>
      <c r="F101" s="3"/>
      <c r="G101" s="72">
        <v>60000</v>
      </c>
      <c r="H101" s="72">
        <f t="shared" ref="H101:L101" si="1048">(H91*4)+(H89*2)</f>
        <v>48422</v>
      </c>
      <c r="I101" s="72">
        <f t="shared" si="1048"/>
        <v>5384</v>
      </c>
      <c r="J101" s="72">
        <f t="shared" si="1048"/>
        <v>3554</v>
      </c>
      <c r="K101" s="72">
        <f t="shared" si="1048"/>
        <v>2640</v>
      </c>
      <c r="L101" s="72">
        <f t="shared" si="1048"/>
        <v>11664</v>
      </c>
      <c r="M101" s="184"/>
      <c r="N101" s="91">
        <f t="shared" si="930"/>
        <v>0.19439999999999999</v>
      </c>
      <c r="O101" s="124">
        <f t="shared" si="931"/>
        <v>17944.615384615387</v>
      </c>
      <c r="P101" s="124">
        <f t="shared" si="932"/>
        <v>14355.69230769231</v>
      </c>
      <c r="Q101" s="124">
        <f t="shared" si="933"/>
        <v>7177.8461538461543</v>
      </c>
      <c r="R101" s="124">
        <f t="shared" si="934"/>
        <v>5742.2769230769236</v>
      </c>
      <c r="S101" s="72">
        <f t="shared" si="4"/>
        <v>21533.538461538461</v>
      </c>
      <c r="T101" s="3"/>
      <c r="U101" s="77">
        <f t="shared" si="935"/>
        <v>11664</v>
      </c>
      <c r="V101" s="78">
        <f t="shared" si="936"/>
        <v>0.19439999999999999</v>
      </c>
      <c r="W101" s="111">
        <f t="shared" si="937"/>
        <v>0.97199999999999998</v>
      </c>
      <c r="X101" s="3"/>
      <c r="Y101" s="79">
        <v>5</v>
      </c>
      <c r="Z101" s="77">
        <f t="shared" si="938"/>
        <v>58320</v>
      </c>
      <c r="AA101" s="77">
        <f t="shared" si="939"/>
        <v>46656</v>
      </c>
      <c r="AB101" s="77">
        <f t="shared" si="940"/>
        <v>65497.846153846156</v>
      </c>
      <c r="AC101" s="72">
        <f>(AC91*4)+(AC89*2)</f>
        <v>55673.169230769228</v>
      </c>
      <c r="AD101" s="77">
        <f t="shared" si="941"/>
        <v>46656</v>
      </c>
      <c r="AE101" s="77">
        <f t="shared" si="942"/>
        <v>1495.3846153846155</v>
      </c>
      <c r="AF101" s="77">
        <f t="shared" si="943"/>
        <v>45160.615384615383</v>
      </c>
      <c r="AG101" s="3"/>
      <c r="AH101" s="77">
        <f t="shared" si="850"/>
        <v>11664</v>
      </c>
      <c r="AI101" s="72">
        <f t="shared" ref="AI101:AJ101" si="1049">AI89*2+AI91*4</f>
        <v>11664</v>
      </c>
      <c r="AJ101" s="77">
        <f t="shared" si="1049"/>
        <v>38880</v>
      </c>
      <c r="AK101" s="77">
        <f t="shared" si="1042"/>
        <v>62208</v>
      </c>
      <c r="AL101" s="77">
        <f>AL89*2+AL91*4</f>
        <v>174960</v>
      </c>
      <c r="AM101" s="80">
        <f t="shared" si="945"/>
        <v>0.35555555555555557</v>
      </c>
      <c r="AN101" s="32"/>
      <c r="AO101" s="72">
        <f t="shared" ref="AO101:AP101" si="1050">AO89*2+AO91*4</f>
        <v>760</v>
      </c>
      <c r="AP101" s="81">
        <f t="shared" si="1050"/>
        <v>378</v>
      </c>
      <c r="AQ101" s="82">
        <f t="shared" si="947"/>
        <v>1138</v>
      </c>
      <c r="AR101" s="3"/>
      <c r="AS101" s="72">
        <f>(AS91*4)+(AS89*2)</f>
        <v>36</v>
      </c>
      <c r="AT101" s="3"/>
      <c r="AU101" s="77">
        <v>41</v>
      </c>
      <c r="AV101" s="77">
        <v>78</v>
      </c>
      <c r="AW101" s="77">
        <v>121</v>
      </c>
      <c r="AX101" s="83">
        <f>AX89*2+AX91*4</f>
        <v>1137.9512195121952</v>
      </c>
      <c r="AY101" s="83">
        <f t="shared" si="948"/>
        <v>598.15384615384619</v>
      </c>
      <c r="AZ101" s="83">
        <f t="shared" si="949"/>
        <v>10.25</v>
      </c>
      <c r="BA101" s="83">
        <f t="shared" si="950"/>
        <v>19.5</v>
      </c>
      <c r="BB101" s="3"/>
      <c r="BC101" s="77" t="s">
        <v>89</v>
      </c>
      <c r="BD101" s="77">
        <f t="shared" si="951"/>
        <v>11664</v>
      </c>
      <c r="BE101" s="72">
        <f t="shared" ref="BE101:BF101" si="1051">(BE91*4)+(BE89*2)</f>
        <v>49570.892307692302</v>
      </c>
      <c r="BF101" s="72" t="e" vm="2">
        <f t="shared" si="1051"/>
        <v>#VALUE!</v>
      </c>
      <c r="BG101" s="77" t="e" vm="2">
        <f t="shared" si="953"/>
        <v>#VALUE!</v>
      </c>
      <c r="BH101" s="77">
        <f t="shared" si="954"/>
        <v>7177.8461538461543</v>
      </c>
      <c r="BI101" s="72" t="e" vm="2">
        <f t="shared" ref="BI101:BJ101" si="1052">(BI91*4)+(BI89*2)</f>
        <v>#VALUE!</v>
      </c>
      <c r="BJ101" s="72">
        <f t="shared" si="1052"/>
        <v>670.15384615384619</v>
      </c>
      <c r="BK101" s="85">
        <v>0.18</v>
      </c>
      <c r="BL101" s="72">
        <f t="shared" ref="BL101:BR101" si="1053">(BL91*4)+(BL89*2)</f>
        <v>8398.08</v>
      </c>
      <c r="BM101" s="72">
        <f t="shared" si="1053"/>
        <v>37354.707692307697</v>
      </c>
      <c r="BN101" s="72">
        <f t="shared" si="1053"/>
        <v>23507.446153846155</v>
      </c>
      <c r="BO101" s="72">
        <f t="shared" si="1053"/>
        <v>2392.6153846153848</v>
      </c>
      <c r="BP101" s="72">
        <f t="shared" si="1053"/>
        <v>49570.892307692302</v>
      </c>
      <c r="BQ101" s="72">
        <f t="shared" si="1053"/>
        <v>180</v>
      </c>
      <c r="BR101" s="72" t="e" vm="2">
        <f t="shared" si="1053"/>
        <v>#VALUE!</v>
      </c>
      <c r="BS101" s="26"/>
      <c r="BT101" s="72">
        <f t="shared" ref="BT101:BW101" si="1054">(BT91*4)+(BT89*2)</f>
        <v>26127.360000000001</v>
      </c>
      <c r="BU101" s="72">
        <f t="shared" si="1054"/>
        <v>266405.76000000001</v>
      </c>
      <c r="BV101" s="72">
        <f t="shared" si="1054"/>
        <v>34094.769230769234</v>
      </c>
      <c r="BW101" s="72">
        <f t="shared" si="1054"/>
        <v>16748.307692307695</v>
      </c>
      <c r="BX101" s="72"/>
      <c r="BY101" s="72">
        <f>(BY91*4)+(BY89*2)</f>
        <v>36</v>
      </c>
      <c r="BZ101" s="3"/>
      <c r="CA101" s="86">
        <f t="shared" si="958"/>
        <v>585812.73600000003</v>
      </c>
      <c r="CB101" s="89">
        <v>15</v>
      </c>
      <c r="CC101" s="86">
        <f t="shared" si="959"/>
        <v>699855</v>
      </c>
      <c r="CD101" s="87">
        <f t="shared" si="960"/>
        <v>368.33855443403024</v>
      </c>
      <c r="CE101" s="88">
        <f t="shared" si="961"/>
        <v>0.1886859630858152</v>
      </c>
      <c r="CF101" s="86" t="e">
        <f t="shared" si="962"/>
        <v>#DIV/0!</v>
      </c>
      <c r="CG101" s="72">
        <f>(CG91*4)+(CG89*2)</f>
        <v>23166.663930873139</v>
      </c>
      <c r="CH101" s="89">
        <v>30</v>
      </c>
      <c r="CI101" s="86">
        <f t="shared" si="963"/>
        <v>1399695</v>
      </c>
      <c r="CJ101" s="87">
        <f t="shared" si="964"/>
        <v>736.67539653929339</v>
      </c>
      <c r="CK101" s="88">
        <f t="shared" si="965"/>
        <v>0.21233881079073438</v>
      </c>
      <c r="CL101" s="86" t="e">
        <f t="shared" si="966"/>
        <v>#DIV/0!</v>
      </c>
      <c r="CM101" s="72">
        <f>(CM91*4)+(CM89*2)</f>
        <v>26070.735674348693</v>
      </c>
      <c r="CN101" s="89">
        <v>70</v>
      </c>
      <c r="CO101" s="86">
        <f t="shared" si="967"/>
        <v>3265935</v>
      </c>
      <c r="CP101" s="87">
        <f t="shared" si="968"/>
        <v>1718.9069754866618</v>
      </c>
      <c r="CQ101" s="88">
        <f t="shared" si="969"/>
        <v>0.27027552286829953</v>
      </c>
      <c r="CR101" s="86" t="e">
        <f t="shared" si="970"/>
        <v>#DIV/0!</v>
      </c>
      <c r="CS101" s="72">
        <f>(CS91*4)+(CS89*2)</f>
        <v>33184.14419721943</v>
      </c>
      <c r="CT101" s="90">
        <v>3.05</v>
      </c>
      <c r="CU101" s="3"/>
      <c r="CV101" s="86">
        <f t="shared" si="971"/>
        <v>585812.73600000003</v>
      </c>
      <c r="CW101" s="86">
        <v>15</v>
      </c>
      <c r="CX101" s="86">
        <f t="shared" si="972"/>
        <v>699855</v>
      </c>
      <c r="CY101" s="87">
        <f t="shared" si="973"/>
        <v>368.33855443403024</v>
      </c>
      <c r="CZ101" s="88">
        <f t="shared" si="974"/>
        <v>1.2399086878040482</v>
      </c>
      <c r="DA101" s="86" t="e">
        <f t="shared" si="975"/>
        <v>#DIV/0!</v>
      </c>
      <c r="DB101" s="72">
        <f>(DB91*4)+(DB89*2)</f>
        <v>152234.68352154124</v>
      </c>
      <c r="DC101" s="89">
        <v>30</v>
      </c>
      <c r="DD101" s="86">
        <f t="shared" si="976"/>
        <v>1399695</v>
      </c>
      <c r="DE101" s="87">
        <f t="shared" si="977"/>
        <v>736.67539653929339</v>
      </c>
      <c r="DF101" s="88">
        <f t="shared" si="978"/>
        <v>1.2759996274704342</v>
      </c>
      <c r="DG101" s="86" t="e">
        <f t="shared" si="979"/>
        <v>#DIV/0!</v>
      </c>
      <c r="DH101" s="72">
        <f>(DH91*4)+(DH89*2)</f>
        <v>156665.89110331732</v>
      </c>
      <c r="DI101" s="89">
        <v>70</v>
      </c>
      <c r="DJ101" s="86">
        <f t="shared" si="980"/>
        <v>3265935</v>
      </c>
      <c r="DK101" s="87">
        <f t="shared" si="981"/>
        <v>1718.9069754866618</v>
      </c>
      <c r="DL101" s="88">
        <f t="shared" si="982"/>
        <v>1.3662894059964434</v>
      </c>
      <c r="DM101" s="86" t="e">
        <f t="shared" si="983"/>
        <v>#DIV/0!</v>
      </c>
      <c r="DN101" s="72">
        <f>(DN91*4)+(DN89*2)</f>
        <v>167751.57506886858</v>
      </c>
      <c r="DO101" s="90">
        <v>3.9</v>
      </c>
      <c r="DP101" s="7"/>
      <c r="DQ101" s="86">
        <f t="shared" si="984"/>
        <v>585812.73600000003</v>
      </c>
      <c r="DR101" s="86">
        <v>15</v>
      </c>
      <c r="DS101" s="86">
        <f t="shared" si="985"/>
        <v>699855</v>
      </c>
      <c r="DT101" s="87">
        <f t="shared" si="986"/>
        <v>368.33855443403024</v>
      </c>
      <c r="DU101" s="88">
        <f t="shared" si="987"/>
        <v>0.10395183144243145</v>
      </c>
      <c r="DV101" s="86">
        <f t="shared" si="988"/>
        <v>409.26506048225582</v>
      </c>
      <c r="DW101" s="72">
        <f>(DW91*4)+(DW89*2)</f>
        <v>24129.237053622295</v>
      </c>
      <c r="DX101" s="89">
        <v>30</v>
      </c>
      <c r="DY101" s="86">
        <f t="shared" si="989"/>
        <v>1399695</v>
      </c>
      <c r="DZ101" s="87">
        <f t="shared" si="990"/>
        <v>736.67539653929339</v>
      </c>
      <c r="EA101" s="88">
        <f t="shared" si="991"/>
        <v>0.13079360559561409</v>
      </c>
      <c r="EB101" s="86">
        <f t="shared" si="992"/>
        <v>818.52821837699264</v>
      </c>
      <c r="EC101" s="72">
        <f>(EC91*4)+(EC89*2)</f>
        <v>30359.73364511926</v>
      </c>
      <c r="ED101" s="89">
        <v>70</v>
      </c>
      <c r="EE101" s="86">
        <f t="shared" si="993"/>
        <v>3265935</v>
      </c>
      <c r="EF101" s="87">
        <f t="shared" si="994"/>
        <v>1718.9069754866618</v>
      </c>
      <c r="EG101" s="88">
        <f t="shared" si="995"/>
        <v>0.15967689192265502</v>
      </c>
      <c r="EH101" s="86">
        <f t="shared" si="996"/>
        <v>1909.8966394296242</v>
      </c>
      <c r="EI101" s="72">
        <f>(EI91*4)+(EI89*2)</f>
        <v>37064.104823598973</v>
      </c>
      <c r="EJ101" s="90">
        <v>3.9</v>
      </c>
    </row>
    <row r="102" spans="1:140">
      <c r="A102" s="11" t="str">
        <f t="shared" si="0"/>
        <v/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21">
        <f t="shared" si="4"/>
        <v>0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26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103"/>
      <c r="CS102" s="103"/>
      <c r="CT102" s="103"/>
      <c r="CU102" s="3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</row>
    <row r="103" spans="1:140">
      <c r="A103" s="18" t="str">
        <f t="shared" si="0"/>
        <v>BgKr</v>
      </c>
      <c r="B103" s="19">
        <v>46</v>
      </c>
      <c r="C103" s="18" t="s">
        <v>91</v>
      </c>
      <c r="D103" s="18" t="s">
        <v>76</v>
      </c>
      <c r="E103" s="18" t="s">
        <v>77</v>
      </c>
      <c r="F103" s="3"/>
      <c r="G103" s="21">
        <v>10000</v>
      </c>
      <c r="H103" s="21">
        <v>7225</v>
      </c>
      <c r="I103" s="21">
        <v>1164</v>
      </c>
      <c r="J103" s="21">
        <v>931</v>
      </c>
      <c r="K103" s="21">
        <v>680</v>
      </c>
      <c r="L103" s="21">
        <f>3537*1</f>
        <v>3537</v>
      </c>
      <c r="M103" s="118"/>
      <c r="N103" s="23">
        <f t="shared" ref="N103:N111" si="1055">(L103+M103)/G103</f>
        <v>0.35370000000000001</v>
      </c>
      <c r="O103" s="21">
        <f t="shared" ref="O103:O111" si="1056">30*AY103</f>
        <v>4353.2307692307695</v>
      </c>
      <c r="P103" s="21">
        <f t="shared" ref="P103:P111" si="1057">O103*0.8</f>
        <v>3482.584615384616</v>
      </c>
      <c r="Q103" s="21">
        <f t="shared" ref="Q103:Q111" si="1058">AY103*12</f>
        <v>1741.292307692308</v>
      </c>
      <c r="R103" s="21">
        <f t="shared" ref="R103:R111" si="1059">Q103*0.8</f>
        <v>1393.0338461538465</v>
      </c>
      <c r="S103" s="21">
        <f t="shared" si="4"/>
        <v>5223.876923076924</v>
      </c>
      <c r="T103" s="3"/>
      <c r="U103" s="26">
        <f t="shared" ref="U103:U106" si="1060">L103+M103</f>
        <v>3537</v>
      </c>
      <c r="V103" s="27">
        <f t="shared" ref="V103:V111" si="1061">U103/G103</f>
        <v>0.35370000000000001</v>
      </c>
      <c r="W103" s="108">
        <f t="shared" ref="W103:W111" si="1062">Z103/G103</f>
        <v>1.4148000000000001</v>
      </c>
      <c r="X103" s="3"/>
      <c r="Y103" s="29">
        <v>4</v>
      </c>
      <c r="Z103" s="26">
        <f t="shared" ref="Z103:Z111" si="1063">(L103*Y103)+M103</f>
        <v>14148</v>
      </c>
      <c r="AA103" s="26">
        <f t="shared" ref="AA103:AA111" si="1064">Z103*0.8</f>
        <v>11318.400000000001</v>
      </c>
      <c r="AB103" s="26">
        <f t="shared" ref="AB103:AB111" si="1065">(L103*Y103)+BH103</f>
        <v>15889.292307692307</v>
      </c>
      <c r="AC103" s="26">
        <f t="shared" ref="AC103:AC111" si="1066">AB103*(1-0.15)</f>
        <v>13505.898461538462</v>
      </c>
      <c r="AD103" s="26">
        <f t="shared" ref="AD103:AD111" si="1067">((L103*Y103)*0.8)</f>
        <v>11318.400000000001</v>
      </c>
      <c r="AE103" s="26">
        <f t="shared" ref="AE103:AE111" si="1068">2.5*AY103</f>
        <v>362.76923076923083</v>
      </c>
      <c r="AF103" s="26">
        <f t="shared" ref="AF103:AF111" si="1069">AD103-AE103</f>
        <v>10955.630769230771</v>
      </c>
      <c r="AG103" s="3"/>
      <c r="AH103" s="26">
        <f t="shared" ref="AH103:AH121" si="1070">L103</f>
        <v>3537</v>
      </c>
      <c r="AI103" s="26">
        <f t="shared" ref="AI103:AI111" si="1071">AH103</f>
        <v>3537</v>
      </c>
      <c r="AJ103" s="26">
        <f>(6288*1)</f>
        <v>6288</v>
      </c>
      <c r="AK103" s="26">
        <f t="shared" ref="AK103:AK111" si="1072">SUM(AH103:AJ103)</f>
        <v>13362</v>
      </c>
      <c r="AL103" s="26">
        <f>42444*1</f>
        <v>42444</v>
      </c>
      <c r="AM103" s="31">
        <f t="shared" ref="AM103:AM111" si="1073">AK103/AL103</f>
        <v>0.31481481481481483</v>
      </c>
      <c r="AN103" s="32"/>
      <c r="AO103" s="21">
        <v>200</v>
      </c>
      <c r="AP103" s="114">
        <f>10.5*1</f>
        <v>10.5</v>
      </c>
      <c r="AQ103" s="26">
        <f t="shared" ref="AQ103:AQ111" si="1074">AO103+AP103</f>
        <v>210.5</v>
      </c>
      <c r="AR103" s="3"/>
      <c r="AS103" s="26">
        <v>1</v>
      </c>
      <c r="AT103" s="3"/>
      <c r="AU103" s="26">
        <v>41</v>
      </c>
      <c r="AV103" s="26">
        <v>78</v>
      </c>
      <c r="AW103" s="26">
        <v>121</v>
      </c>
      <c r="AX103" s="35">
        <f t="shared" ref="AX103:AX111" si="1075">AD103/AU103</f>
        <v>276.05853658536591</v>
      </c>
      <c r="AY103" s="35">
        <f t="shared" ref="AY103:AY111" si="1076">AD103/AV103</f>
        <v>145.10769230769233</v>
      </c>
      <c r="AZ103" s="35">
        <f t="shared" ref="AZ103:AZ111" si="1077">L103/AX103</f>
        <v>12.812499999999996</v>
      </c>
      <c r="BA103" s="35">
        <f t="shared" ref="BA103:BA111" si="1078">L103/AY103</f>
        <v>24.374999999999996</v>
      </c>
      <c r="BB103" s="3"/>
      <c r="BC103" s="37" t="s">
        <v>89</v>
      </c>
      <c r="BD103" s="26">
        <f t="shared" ref="BD103:BD111" si="1079">AH103</f>
        <v>3537</v>
      </c>
      <c r="BE103" s="37">
        <f t="shared" ref="BE103:BE111" si="1080">(AC103-(2*BQ103)-R103)</f>
        <v>12048.864615384615</v>
      </c>
      <c r="BF103" s="37" t="e" vm="1">
        <f>'[1]4 - Flächen'!AJ103</f>
        <v>#VALUE!</v>
      </c>
      <c r="BG103" s="26" t="e" vm="2">
        <f t="shared" ref="BG103:BG111" si="1081">BF103-BL103-((2.2*1.1)*BJ103)</f>
        <v>#VALUE!</v>
      </c>
      <c r="BH103" s="26">
        <f t="shared" ref="BH103:BH111" si="1082">Q103</f>
        <v>1741.292307692308</v>
      </c>
      <c r="BI103" s="37" t="e" vm="2">
        <f t="shared" ref="BI103:BI111" si="1083">(BF103/Y103)*0.5</f>
        <v>#VALUE!</v>
      </c>
      <c r="BJ103" s="37">
        <f t="shared" ref="BJ103:BJ111" si="1084">(2*AS103)+AY103</f>
        <v>147.10769230769233</v>
      </c>
      <c r="BK103" s="39">
        <v>0.18</v>
      </c>
      <c r="BL103" s="26">
        <f t="shared" ref="BL103:BL111" si="1085">AD103*BK103</f>
        <v>2037.3120000000001</v>
      </c>
      <c r="BM103" s="26">
        <f t="shared" ref="BM103:BM111" si="1086">(25-(2*1))*AY103</f>
        <v>3337.4769230769234</v>
      </c>
      <c r="BN103" s="26">
        <f t="shared" ref="BN103:BN111" si="1087">(95-(2*4))*AY103</f>
        <v>12624.369230769233</v>
      </c>
      <c r="BO103" s="26">
        <f t="shared" ref="BO103:BO111" si="1088">5*AY103</f>
        <v>725.53846153846166</v>
      </c>
      <c r="BP103" s="37" cm="1">
        <f t="array" ref="BP103">BE103 - _xlfn.IFS(
    _xlfn.XOR(Y103 &lt; 2.5, Y103 = 2.5), 0.5 * AH103,
    _xlfn.XOR(Y103 &lt; 2.5, Y103 = 2.5) = FALSE, 0
)</f>
        <v>12048.864615384615</v>
      </c>
      <c r="BQ103" s="26">
        <f>48-(BY103*(Y103))</f>
        <v>32</v>
      </c>
      <c r="BR103" s="37" t="e" vm="1">
        <f>'[1]4 - Flächen'!AI103</f>
        <v>#VALUE!</v>
      </c>
      <c r="BS103" s="26"/>
      <c r="BT103" s="26">
        <f t="shared" ref="BT103:BT111" si="1089">0.56*AD103</f>
        <v>6338.304000000001</v>
      </c>
      <c r="BU103" s="26">
        <f t="shared" ref="BU103:BU111" si="1090">5.71*AD103</f>
        <v>64628.064000000006</v>
      </c>
      <c r="BV103" s="37">
        <f t="shared" ref="BV103:BV111" si="1091">57*AY103</f>
        <v>8271.1384615384632</v>
      </c>
      <c r="BW103" s="37">
        <f t="shared" ref="BW103:BW111" si="1092">28*AY103</f>
        <v>4063.0153846153853</v>
      </c>
      <c r="BX103" s="26"/>
      <c r="BY103" s="26">
        <f>IF(Y103&gt;3,AS103*4,0)</f>
        <v>4</v>
      </c>
      <c r="BZ103" s="3"/>
      <c r="CA103" s="127">
        <f t="shared" ref="CA103:CA111" si="1093">(34.4*365*$AE103)/1000</f>
        <v>4554.9304615384617</v>
      </c>
      <c r="CB103" s="43">
        <v>15</v>
      </c>
      <c r="CC103" s="40">
        <f t="shared" ref="CC103:CC111" si="1094">$AD103*CB103+($CB103)</f>
        <v>169791.00000000003</v>
      </c>
      <c r="CD103" s="41">
        <f t="shared" ref="CD103:CD111" si="1095">((CC103-$CB103)/1900)+($CB103/8760)</f>
        <v>89.357501802451353</v>
      </c>
      <c r="CE103" s="42">
        <f t="shared" ref="CE103:CE111" si="1096">((380*$CG103)/1000)/$AD103</f>
        <v>0.19800346062689422</v>
      </c>
      <c r="CF103" s="40" t="e">
        <f t="shared" ref="CF103:CF111" si="1097">$CD103/$CU103</f>
        <v>#DIV/0!</v>
      </c>
      <c r="CG103" s="131">
        <f>0.4366673715*AC103</f>
        <v>5897.5851809458936</v>
      </c>
      <c r="CH103" s="43">
        <v>30</v>
      </c>
      <c r="CI103" s="40">
        <f t="shared" ref="CI103:CI111" si="1098">$AD103*CH103+($CB103)</f>
        <v>339567.00000000006</v>
      </c>
      <c r="CJ103" s="41">
        <f t="shared" ref="CJ103:CJ111" si="1099">((CI103-$CB103)/1900)+($CB103/8760)</f>
        <v>178.71329127613558</v>
      </c>
      <c r="CK103" s="42">
        <f t="shared" ref="CK103:CK111" si="1100">((380*$CM103)/1000)/$AD103</f>
        <v>0.22009435588337692</v>
      </c>
      <c r="CL103" s="40" t="e">
        <f t="shared" ref="CL103:CL111" si="1101">$CJ103/$CU103</f>
        <v>#DIV/0!</v>
      </c>
      <c r="CM103" s="119">
        <f>0.4853855764*AC103</f>
        <v>6555.5683095537197</v>
      </c>
      <c r="CN103" s="43">
        <v>70</v>
      </c>
      <c r="CO103" s="40">
        <f t="shared" ref="CO103:CO111" si="1102">$AD103*CN103+($CB103)</f>
        <v>792303.00000000012</v>
      </c>
      <c r="CP103" s="41">
        <f t="shared" ref="CP103:CP111" si="1103">((CO103-$CB103)/1900)+($CB103/8760)</f>
        <v>416.99539653929349</v>
      </c>
      <c r="CQ103" s="42">
        <f t="shared" ref="CQ103:CQ111" si="1104">((380*$CS103)/1000)/$AD103</f>
        <v>0.27892630341168267</v>
      </c>
      <c r="CR103" s="40" t="e">
        <f t="shared" ref="CR103:CR111" si="1105">$CP103/$CU103</f>
        <v>#DIV/0!</v>
      </c>
      <c r="CS103" s="40">
        <f>0.6151307425*AC103</f>
        <v>8307.8933487757622</v>
      </c>
      <c r="CT103" s="44">
        <v>3.05</v>
      </c>
      <c r="CU103" s="3"/>
      <c r="CV103" s="40">
        <f t="shared" ref="CV103:CV111" si="1106">(34.4*365*$AD103)/1000</f>
        <v>142113.83040000001</v>
      </c>
      <c r="CW103" s="40">
        <v>15</v>
      </c>
      <c r="CX103" s="40">
        <f t="shared" ref="CX103:CX111" si="1107">$AD103*CW103+($CW103)</f>
        <v>169791.00000000003</v>
      </c>
      <c r="CY103" s="41">
        <f t="shared" ref="CY103:CY111" si="1108">((CX103-$CW103)/1900)+($CW103/8760)</f>
        <v>89.357501802451353</v>
      </c>
      <c r="CZ103" s="42">
        <f t="shared" ref="CZ103:CZ111" si="1109">((380*$DB103)/1000)/$AD103</f>
        <v>1.7261649377085804</v>
      </c>
      <c r="DA103" s="40" t="e">
        <f t="shared" ref="DA103:DA111" si="1110">$CY103/$DP103</f>
        <v>#DIV/0!</v>
      </c>
      <c r="DB103" s="21">
        <f>3.8068016778*AC103</f>
        <v>51414.276923581048</v>
      </c>
      <c r="DC103" s="43">
        <v>30</v>
      </c>
      <c r="DD103" s="40">
        <f t="shared" ref="DD103:DD111" si="1111">$AD103*DC103+($CW103)</f>
        <v>339567.00000000006</v>
      </c>
      <c r="DE103" s="41">
        <f t="shared" ref="DE103:DE111" si="1112">((DD103-$CW103)/1900)+($CW103/8760)</f>
        <v>178.71329127613558</v>
      </c>
      <c r="DF103" s="42">
        <f t="shared" ref="DF103:DF111" si="1113">((380*$DH103)/1000)/$AD103</f>
        <v>1.7600972143375497</v>
      </c>
      <c r="DG103" s="40" t="e">
        <f t="shared" ref="DG103:DG111" si="1114">$DE103/$DP103</f>
        <v>#DIV/0!</v>
      </c>
      <c r="DH103" s="40">
        <f>3.8816342994*AC103</f>
        <v>52424.95871252138</v>
      </c>
      <c r="DI103" s="43">
        <v>70</v>
      </c>
      <c r="DJ103" s="40">
        <f t="shared" ref="DJ103:DJ111" si="1115">$AD103*DI103+($CW103)</f>
        <v>792303.00000000012</v>
      </c>
      <c r="DK103" s="41">
        <f t="shared" ref="DK103:DK111" si="1116">((DJ103-$CW103)/1900)+($CW103/8760)</f>
        <v>416.99539653929349</v>
      </c>
      <c r="DL103" s="42">
        <f t="shared" ref="DL103:DL111" si="1117">((380*$DN103)/1000)/$AD103</f>
        <v>1.8505543144656535</v>
      </c>
      <c r="DM103" s="40" t="e">
        <f t="shared" ref="DM103:DM111" si="1118">$DK103/$DP103</f>
        <v>#DIV/0!</v>
      </c>
      <c r="DN103" s="40">
        <f>4.081124066*AC103</f>
        <v>55119.247244336992</v>
      </c>
      <c r="DO103" s="44">
        <v>3.9</v>
      </c>
      <c r="DP103" s="7"/>
      <c r="DQ103" s="40">
        <f t="shared" ref="DQ103:DQ111" si="1119">(34.4*365*$AD103)/1000</f>
        <v>142113.83040000001</v>
      </c>
      <c r="DR103" s="40">
        <v>15</v>
      </c>
      <c r="DS103" s="40">
        <f t="shared" ref="DS103:DS111" si="1120">$AD103*DR103+($DR103)</f>
        <v>169791.00000000003</v>
      </c>
      <c r="DT103" s="41">
        <f t="shared" ref="DT103:DT111" si="1121">((DS103-$DR103)/1900)+($DR103/8760)</f>
        <v>89.357501802451353</v>
      </c>
      <c r="DU103" s="42">
        <f t="shared" ref="DU103:DU111" si="1122">((201*$DW103)/1000)/$AD103</f>
        <v>0.14188628460689018</v>
      </c>
      <c r="DV103" s="40">
        <f t="shared" ref="DV103:DV111" si="1123">$DT103/0.9</f>
        <v>99.28611311383483</v>
      </c>
      <c r="DW103" s="40">
        <f>0.5915696938*AC103</f>
        <v>7989.6802173861988</v>
      </c>
      <c r="DX103" s="43">
        <v>30</v>
      </c>
      <c r="DY103" s="40">
        <f t="shared" ref="DY103:DY111" si="1124">$AD103*DX103+($DR103)</f>
        <v>339567.00000000006</v>
      </c>
      <c r="DZ103" s="41">
        <f t="shared" ref="DZ103:DZ111" si="1125">((DY103-$DR103)/1900)+($DR103/8760)</f>
        <v>178.71329127613558</v>
      </c>
      <c r="EA103" s="42">
        <f t="shared" ref="EA103:EA111" si="1126">((201*$EC103)/1000)/$AD103</f>
        <v>0.1495455534193004</v>
      </c>
      <c r="EB103" s="40">
        <f t="shared" ref="EB103:EB111" si="1127">$DZ103/0.9</f>
        <v>198.57032364015063</v>
      </c>
      <c r="EC103" s="40">
        <f>0.6235036564*AC103</f>
        <v>8420.9770737363669</v>
      </c>
      <c r="ED103" s="43">
        <v>70</v>
      </c>
      <c r="EE103" s="40">
        <f t="shared" ref="EE103:EE111" si="1128">$AD103*ED103+($DR103)</f>
        <v>792303.00000000012</v>
      </c>
      <c r="EF103" s="41">
        <f t="shared" ref="EF103:EF111" si="1129">((EE103-$DR103)/1900)+($DR103/8760)</f>
        <v>416.99539653929349</v>
      </c>
      <c r="EG103" s="42">
        <f t="shared" ref="EG103:EG111" si="1130">((201*$EI103)/1000)/$AD103</f>
        <v>0.17011517160860623</v>
      </c>
      <c r="EH103" s="40">
        <f t="shared" ref="EH103:EH111" si="1131">$EF103/0.9</f>
        <v>463.32821837699277</v>
      </c>
      <c r="EI103" s="40">
        <f>0.7092650305*AC103</f>
        <v>9579.2614842529802</v>
      </c>
      <c r="EJ103" s="44">
        <v>3.9</v>
      </c>
    </row>
    <row r="104" spans="1:140">
      <c r="A104" s="18" t="str">
        <f t="shared" si="0"/>
        <v>BgKu</v>
      </c>
      <c r="B104" s="19">
        <v>47</v>
      </c>
      <c r="C104" s="18" t="s">
        <v>91</v>
      </c>
      <c r="D104" s="18" t="s">
        <v>76</v>
      </c>
      <c r="E104" s="18" t="s">
        <v>79</v>
      </c>
      <c r="F104" s="3"/>
      <c r="G104" s="21">
        <v>10000</v>
      </c>
      <c r="H104" s="45">
        <v>8500</v>
      </c>
      <c r="I104" s="45">
        <v>600</v>
      </c>
      <c r="J104" s="45">
        <v>560</v>
      </c>
      <c r="K104" s="45">
        <v>340</v>
      </c>
      <c r="L104" s="21">
        <f>(3537*0.25)+(1039.5*1)</f>
        <v>1923.75</v>
      </c>
      <c r="M104" s="177"/>
      <c r="N104" s="46">
        <f t="shared" si="1055"/>
        <v>0.19237499999999999</v>
      </c>
      <c r="O104" s="21">
        <f t="shared" si="1056"/>
        <v>2367.6923076923076</v>
      </c>
      <c r="P104" s="21">
        <f t="shared" si="1057"/>
        <v>1894.1538461538462</v>
      </c>
      <c r="Q104" s="21">
        <f t="shared" si="1058"/>
        <v>947.07692307692309</v>
      </c>
      <c r="R104" s="21">
        <f t="shared" si="1059"/>
        <v>757.6615384615385</v>
      </c>
      <c r="S104" s="21">
        <f t="shared" si="4"/>
        <v>2841.2307692307695</v>
      </c>
      <c r="T104" s="3"/>
      <c r="U104" s="26">
        <f t="shared" si="1060"/>
        <v>1923.75</v>
      </c>
      <c r="V104" s="27">
        <f t="shared" si="1061"/>
        <v>0.19237499999999999</v>
      </c>
      <c r="W104" s="108">
        <f t="shared" si="1062"/>
        <v>0.76949999999999996</v>
      </c>
      <c r="X104" s="3"/>
      <c r="Y104" s="29">
        <v>4</v>
      </c>
      <c r="Z104" s="26">
        <f t="shared" si="1063"/>
        <v>7695</v>
      </c>
      <c r="AA104" s="26">
        <f t="shared" si="1064"/>
        <v>6156</v>
      </c>
      <c r="AB104" s="26">
        <f t="shared" si="1065"/>
        <v>8642.0769230769238</v>
      </c>
      <c r="AC104" s="26">
        <f t="shared" si="1066"/>
        <v>7345.7653846153853</v>
      </c>
      <c r="AD104" s="26">
        <f t="shared" si="1067"/>
        <v>6156</v>
      </c>
      <c r="AE104" s="26">
        <f t="shared" si="1068"/>
        <v>197.30769230769229</v>
      </c>
      <c r="AF104" s="26">
        <f t="shared" si="1069"/>
        <v>5958.6923076923076</v>
      </c>
      <c r="AG104" s="3"/>
      <c r="AH104" s="26">
        <f t="shared" si="1070"/>
        <v>1923.75</v>
      </c>
      <c r="AI104" s="26">
        <f t="shared" si="1071"/>
        <v>1923.75</v>
      </c>
      <c r="AJ104" s="26">
        <f>(6288*0.25)+(2174*1)</f>
        <v>3746</v>
      </c>
      <c r="AK104" s="26">
        <f t="shared" si="1072"/>
        <v>7593.5</v>
      </c>
      <c r="AL104" s="26">
        <f>(42444*0.25)+(12474*1)</f>
        <v>23085</v>
      </c>
      <c r="AM104" s="31">
        <f t="shared" si="1073"/>
        <v>0.32893653887805935</v>
      </c>
      <c r="AN104" s="32"/>
      <c r="AO104" s="21">
        <v>100</v>
      </c>
      <c r="AP104" s="114">
        <f>10.5*1.25</f>
        <v>13.125</v>
      </c>
      <c r="AQ104" s="26">
        <f t="shared" si="1074"/>
        <v>113.125</v>
      </c>
      <c r="AR104" s="3"/>
      <c r="AS104" s="132">
        <v>1.25</v>
      </c>
      <c r="AT104" s="3"/>
      <c r="AU104" s="26">
        <v>41</v>
      </c>
      <c r="AV104" s="26">
        <v>78</v>
      </c>
      <c r="AW104" s="26">
        <v>121</v>
      </c>
      <c r="AX104" s="35">
        <f t="shared" si="1075"/>
        <v>150.14634146341464</v>
      </c>
      <c r="AY104" s="35">
        <f t="shared" si="1076"/>
        <v>78.92307692307692</v>
      </c>
      <c r="AZ104" s="35">
        <f t="shared" si="1077"/>
        <v>12.8125</v>
      </c>
      <c r="BA104" s="35">
        <f t="shared" si="1078"/>
        <v>24.375</v>
      </c>
      <c r="BB104" s="3"/>
      <c r="BC104" s="37" t="s">
        <v>89</v>
      </c>
      <c r="BD104" s="26">
        <f t="shared" si="1079"/>
        <v>1923.75</v>
      </c>
      <c r="BE104" s="37">
        <f t="shared" si="1080"/>
        <v>6484.1038461538465</v>
      </c>
      <c r="BF104" s="37" t="e" vm="1">
        <f>'[1]4 - Flächen'!AJ104</f>
        <v>#VALUE!</v>
      </c>
      <c r="BG104" s="26" t="e" vm="2">
        <f t="shared" si="1081"/>
        <v>#VALUE!</v>
      </c>
      <c r="BH104" s="26">
        <f t="shared" si="1082"/>
        <v>947.07692307692309</v>
      </c>
      <c r="BI104" s="37" t="e" vm="2">
        <f t="shared" si="1083"/>
        <v>#VALUE!</v>
      </c>
      <c r="BJ104" s="37">
        <f t="shared" si="1084"/>
        <v>81.42307692307692</v>
      </c>
      <c r="BK104" s="39">
        <v>0.18</v>
      </c>
      <c r="BL104" s="26">
        <f t="shared" si="1085"/>
        <v>1108.08</v>
      </c>
      <c r="BM104" s="26">
        <f t="shared" si="1086"/>
        <v>1815.2307692307691</v>
      </c>
      <c r="BN104" s="26">
        <f t="shared" si="1087"/>
        <v>6866.3076923076924</v>
      </c>
      <c r="BO104" s="26">
        <f t="shared" si="1088"/>
        <v>394.61538461538458</v>
      </c>
      <c r="BP104" s="37" cm="1">
        <f t="array" ref="BP104">BE104 - _xlfn.IFS(
    _xlfn.XOR(Y104 &lt; 2.5, Y104 = 2.5), 0.5 * AH104,
    _xlfn.XOR(Y104 &lt; 2.5, Y104 = 2.5) = FALSE, 0
)</f>
        <v>6484.1038461538465</v>
      </c>
      <c r="BQ104" s="26">
        <f>60-(BY104*(Y104))</f>
        <v>52</v>
      </c>
      <c r="BR104" s="37" t="e" vm="1">
        <f>'[1]4 - Flächen'!AI104</f>
        <v>#VALUE!</v>
      </c>
      <c r="BS104" s="26"/>
      <c r="BT104" s="26">
        <f t="shared" si="1089"/>
        <v>3447.36</v>
      </c>
      <c r="BU104" s="26">
        <f t="shared" si="1090"/>
        <v>35150.76</v>
      </c>
      <c r="BV104" s="37">
        <f t="shared" si="1091"/>
        <v>4498.6153846153848</v>
      </c>
      <c r="BW104" s="37">
        <f t="shared" si="1092"/>
        <v>2209.8461538461538</v>
      </c>
      <c r="BX104" s="26"/>
      <c r="BY104" s="26">
        <f>IF(Y104&gt;3,ROUNDDOWN(AS104*2,0),0)</f>
        <v>2</v>
      </c>
      <c r="BZ104" s="3"/>
      <c r="CA104" s="127">
        <f t="shared" si="1093"/>
        <v>2477.3953846153845</v>
      </c>
      <c r="CB104" s="43">
        <v>15</v>
      </c>
      <c r="CC104" s="40">
        <f t="shared" si="1094"/>
        <v>92355</v>
      </c>
      <c r="CD104" s="41">
        <f t="shared" si="1095"/>
        <v>48.601712328767128</v>
      </c>
      <c r="CE104" s="42">
        <f t="shared" si="1096"/>
        <v>0.19741852585403269</v>
      </c>
      <c r="CF104" s="40" t="e">
        <f t="shared" si="1097"/>
        <v>#DIV/0!</v>
      </c>
      <c r="CG104" s="131">
        <f>0.4353773843*AC104</f>
        <v>3198.1801188353297</v>
      </c>
      <c r="CH104" s="43">
        <v>30</v>
      </c>
      <c r="CI104" s="40">
        <f t="shared" si="1098"/>
        <v>184695</v>
      </c>
      <c r="CJ104" s="41">
        <f t="shared" si="1099"/>
        <v>97.20171232876713</v>
      </c>
      <c r="CK104" s="42">
        <f t="shared" si="1100"/>
        <v>0.21919494558427116</v>
      </c>
      <c r="CL104" s="40" t="e">
        <f t="shared" si="1101"/>
        <v>#DIV/0!</v>
      </c>
      <c r="CM104" s="119">
        <f>0.4834020599*AC104</f>
        <v>3550.9581184651929</v>
      </c>
      <c r="CN104" s="43">
        <v>70</v>
      </c>
      <c r="CO104" s="40">
        <f t="shared" si="1102"/>
        <v>430935</v>
      </c>
      <c r="CP104" s="41">
        <f t="shared" si="1103"/>
        <v>226.80171232876714</v>
      </c>
      <c r="CQ104" s="42">
        <f t="shared" si="1104"/>
        <v>0.27707685475552307</v>
      </c>
      <c r="CR104" s="40" t="e">
        <f t="shared" si="1105"/>
        <v>#DIV/0!</v>
      </c>
      <c r="CS104" s="40">
        <f>0.6110520568*AC104</f>
        <v>4488.6450470394739</v>
      </c>
      <c r="CT104" s="44">
        <v>3.05</v>
      </c>
      <c r="CU104" s="3"/>
      <c r="CV104" s="40">
        <f t="shared" si="1106"/>
        <v>77294.736000000004</v>
      </c>
      <c r="CW104" s="40">
        <v>15</v>
      </c>
      <c r="CX104" s="40">
        <f t="shared" si="1107"/>
        <v>92355</v>
      </c>
      <c r="CY104" s="41">
        <f t="shared" si="1108"/>
        <v>48.601712328767128</v>
      </c>
      <c r="CZ104" s="42">
        <f t="shared" si="1109"/>
        <v>1.7252561776558117</v>
      </c>
      <c r="DA104" s="40" t="e">
        <f t="shared" si="1110"/>
        <v>#DIV/0!</v>
      </c>
      <c r="DB104" s="21">
        <f>3.8047975418*AC104</f>
        <v>27949.150078024151</v>
      </c>
      <c r="DC104" s="43">
        <v>30</v>
      </c>
      <c r="DD104" s="40">
        <f t="shared" si="1111"/>
        <v>184695</v>
      </c>
      <c r="DE104" s="41">
        <f t="shared" si="1112"/>
        <v>97.20171232876713</v>
      </c>
      <c r="DF104" s="42">
        <f t="shared" si="1113"/>
        <v>1.758730118427704</v>
      </c>
      <c r="DG104" s="40" t="e">
        <f t="shared" si="1114"/>
        <v>#DIV/0!</v>
      </c>
      <c r="DH104" s="40">
        <f>3.8786193714*AC104</f>
        <v>28491.427918528807</v>
      </c>
      <c r="DI104" s="43">
        <v>70</v>
      </c>
      <c r="DJ104" s="40">
        <f t="shared" si="1115"/>
        <v>430935</v>
      </c>
      <c r="DK104" s="41">
        <f t="shared" si="1116"/>
        <v>226.80171232876714</v>
      </c>
      <c r="DL104" s="42">
        <f t="shared" si="1117"/>
        <v>1.8477264864920138</v>
      </c>
      <c r="DM104" s="40" t="e">
        <f t="shared" si="1118"/>
        <v>#DIV/0!</v>
      </c>
      <c r="DN104" s="40">
        <f>4.0748877093*AC104</f>
        <v>29933.169081170625</v>
      </c>
      <c r="DO104" s="44">
        <v>3.9</v>
      </c>
      <c r="DP104" s="7"/>
      <c r="DQ104" s="40">
        <f t="shared" si="1119"/>
        <v>77294.736000000004</v>
      </c>
      <c r="DR104" s="40">
        <v>15</v>
      </c>
      <c r="DS104" s="40">
        <f t="shared" si="1120"/>
        <v>92355</v>
      </c>
      <c r="DT104" s="41">
        <f t="shared" si="1121"/>
        <v>48.601712328767128</v>
      </c>
      <c r="DU104" s="42">
        <f t="shared" si="1122"/>
        <v>0.14103336370423789</v>
      </c>
      <c r="DV104" s="40">
        <f t="shared" si="1123"/>
        <v>54.001902587519027</v>
      </c>
      <c r="DW104" s="40">
        <f>0.5880135914*AC104</f>
        <v>4319.4098853894948</v>
      </c>
      <c r="DX104" s="43">
        <v>30</v>
      </c>
      <c r="DY104" s="40">
        <f t="shared" si="1124"/>
        <v>184695</v>
      </c>
      <c r="DZ104" s="41">
        <f t="shared" si="1125"/>
        <v>97.20171232876713</v>
      </c>
      <c r="EA104" s="42">
        <f t="shared" si="1126"/>
        <v>0.14857686092838548</v>
      </c>
      <c r="EB104" s="40">
        <f t="shared" si="1127"/>
        <v>108.00190258751903</v>
      </c>
      <c r="EC104" s="40">
        <f>0.6194648649*AC104</f>
        <v>4550.4435615678658</v>
      </c>
      <c r="ED104" s="43">
        <v>70</v>
      </c>
      <c r="EE104" s="40">
        <f t="shared" si="1128"/>
        <v>430935</v>
      </c>
      <c r="EF104" s="41">
        <f t="shared" si="1129"/>
        <v>226.80171232876714</v>
      </c>
      <c r="EG104" s="42">
        <f t="shared" si="1130"/>
        <v>0.16883652361116777</v>
      </c>
      <c r="EH104" s="40">
        <f t="shared" si="1131"/>
        <v>252.00190258751903</v>
      </c>
      <c r="EI104" s="40">
        <f>0.7039339345*AC104</f>
        <v>5170.9335291062134</v>
      </c>
      <c r="EJ104" s="44">
        <v>3.9</v>
      </c>
    </row>
    <row r="105" spans="1:140">
      <c r="A105" s="18" t="str">
        <f t="shared" si="0"/>
        <v>BgWe</v>
      </c>
      <c r="B105" s="19">
        <v>48</v>
      </c>
      <c r="C105" s="18" t="s">
        <v>91</v>
      </c>
      <c r="D105" s="18" t="s">
        <v>76</v>
      </c>
      <c r="E105" s="18" t="s">
        <v>80</v>
      </c>
      <c r="F105" s="3"/>
      <c r="G105" s="21">
        <v>10000</v>
      </c>
      <c r="H105" s="45">
        <v>8493</v>
      </c>
      <c r="I105" s="45">
        <v>764</v>
      </c>
      <c r="J105" s="45">
        <v>423</v>
      </c>
      <c r="K105" s="45">
        <v>320</v>
      </c>
      <c r="L105" s="21">
        <f>1039.5*2</f>
        <v>2079</v>
      </c>
      <c r="M105" s="179"/>
      <c r="N105" s="46">
        <f t="shared" si="1055"/>
        <v>0.2079</v>
      </c>
      <c r="O105" s="21">
        <f t="shared" si="1056"/>
        <v>2558.7692307692305</v>
      </c>
      <c r="P105" s="21">
        <f t="shared" si="1057"/>
        <v>2047.0153846153844</v>
      </c>
      <c r="Q105" s="21">
        <f t="shared" si="1058"/>
        <v>1023.5076923076922</v>
      </c>
      <c r="R105" s="21">
        <f t="shared" si="1059"/>
        <v>818.80615384615385</v>
      </c>
      <c r="S105" s="21">
        <f t="shared" si="4"/>
        <v>3070.5230769230766</v>
      </c>
      <c r="T105" s="3"/>
      <c r="U105" s="26">
        <f t="shared" si="1060"/>
        <v>2079</v>
      </c>
      <c r="V105" s="27">
        <f t="shared" si="1061"/>
        <v>0.2079</v>
      </c>
      <c r="W105" s="108">
        <f t="shared" si="1062"/>
        <v>0.83160000000000001</v>
      </c>
      <c r="X105" s="3"/>
      <c r="Y105" s="29">
        <v>4</v>
      </c>
      <c r="Z105" s="26">
        <f t="shared" si="1063"/>
        <v>8316</v>
      </c>
      <c r="AA105" s="26">
        <f t="shared" si="1064"/>
        <v>6652.8</v>
      </c>
      <c r="AB105" s="26">
        <f t="shared" si="1065"/>
        <v>9339.5076923076922</v>
      </c>
      <c r="AC105" s="26">
        <f t="shared" si="1066"/>
        <v>7938.581538461538</v>
      </c>
      <c r="AD105" s="26">
        <f t="shared" si="1067"/>
        <v>6652.8</v>
      </c>
      <c r="AE105" s="26">
        <f t="shared" si="1068"/>
        <v>213.23076923076923</v>
      </c>
      <c r="AF105" s="26">
        <f t="shared" si="1069"/>
        <v>6439.5692307692307</v>
      </c>
      <c r="AG105" s="3"/>
      <c r="AH105" s="26">
        <f t="shared" si="1070"/>
        <v>2079</v>
      </c>
      <c r="AI105" s="26">
        <f t="shared" si="1071"/>
        <v>2079</v>
      </c>
      <c r="AJ105" s="26">
        <f>(2174*2)</f>
        <v>4348</v>
      </c>
      <c r="AK105" s="26">
        <f t="shared" si="1072"/>
        <v>8506</v>
      </c>
      <c r="AL105" s="26">
        <f>(12474*2)</f>
        <v>24948</v>
      </c>
      <c r="AM105" s="31">
        <f t="shared" si="1073"/>
        <v>0.34094917428250759</v>
      </c>
      <c r="AN105" s="32"/>
      <c r="AO105" s="21">
        <v>90</v>
      </c>
      <c r="AP105" s="33">
        <f>10.5*2</f>
        <v>21</v>
      </c>
      <c r="AQ105" s="26">
        <f t="shared" si="1074"/>
        <v>111</v>
      </c>
      <c r="AR105" s="3"/>
      <c r="AS105" s="26">
        <v>2</v>
      </c>
      <c r="AT105" s="3"/>
      <c r="AU105" s="26">
        <v>41</v>
      </c>
      <c r="AV105" s="26">
        <v>78</v>
      </c>
      <c r="AW105" s="26">
        <v>121</v>
      </c>
      <c r="AX105" s="35">
        <f t="shared" si="1075"/>
        <v>162.26341463414636</v>
      </c>
      <c r="AY105" s="35">
        <f t="shared" si="1076"/>
        <v>85.292307692307688</v>
      </c>
      <c r="AZ105" s="35">
        <f t="shared" si="1077"/>
        <v>12.812499999999998</v>
      </c>
      <c r="BA105" s="35">
        <f t="shared" si="1078"/>
        <v>24.375</v>
      </c>
      <c r="BB105" s="3"/>
      <c r="BC105" s="37" t="s">
        <v>89</v>
      </c>
      <c r="BD105" s="26">
        <f t="shared" si="1079"/>
        <v>2079</v>
      </c>
      <c r="BE105" s="37">
        <f t="shared" si="1080"/>
        <v>7087.7753846153846</v>
      </c>
      <c r="BF105" s="37" t="e" vm="1">
        <f>'[1]4 - Flächen'!AJ105</f>
        <v>#VALUE!</v>
      </c>
      <c r="BG105" s="26" t="e" vm="2">
        <f t="shared" si="1081"/>
        <v>#VALUE!</v>
      </c>
      <c r="BH105" s="26">
        <f t="shared" si="1082"/>
        <v>1023.5076923076922</v>
      </c>
      <c r="BI105" s="37" t="e" vm="2">
        <f t="shared" si="1083"/>
        <v>#VALUE!</v>
      </c>
      <c r="BJ105" s="37">
        <f t="shared" si="1084"/>
        <v>89.292307692307688</v>
      </c>
      <c r="BK105" s="39">
        <v>0.18</v>
      </c>
      <c r="BL105" s="26">
        <f t="shared" si="1085"/>
        <v>1197.5039999999999</v>
      </c>
      <c r="BM105" s="26">
        <f t="shared" si="1086"/>
        <v>1961.7230769230769</v>
      </c>
      <c r="BN105" s="26">
        <f t="shared" si="1087"/>
        <v>7420.4307692307684</v>
      </c>
      <c r="BO105" s="26">
        <f t="shared" si="1088"/>
        <v>426.46153846153845</v>
      </c>
      <c r="BP105" s="37" cm="1">
        <f t="array" ref="BP105">BE105 - _xlfn.IFS(
    _xlfn.XOR(Y105 &lt; 2.5, Y105 = 2.5), 0.5 * AH105,
    _xlfn.XOR(Y105 &lt; 2.5, Y105 = 2.5) = FALSE, 0
)</f>
        <v>7087.7753846153846</v>
      </c>
      <c r="BQ105" s="26">
        <f>24-(BY105*(Y105))</f>
        <v>16</v>
      </c>
      <c r="BR105" s="37" t="e" vm="1">
        <f>'[1]4 - Flächen'!AI105</f>
        <v>#VALUE!</v>
      </c>
      <c r="BS105" s="26"/>
      <c r="BT105" s="26">
        <f t="shared" si="1089"/>
        <v>3725.5680000000007</v>
      </c>
      <c r="BU105" s="26">
        <f t="shared" si="1090"/>
        <v>37987.487999999998</v>
      </c>
      <c r="BV105" s="37">
        <f t="shared" si="1091"/>
        <v>4861.6615384615379</v>
      </c>
      <c r="BW105" s="37">
        <f t="shared" si="1092"/>
        <v>2388.1846153846154</v>
      </c>
      <c r="BX105" s="26"/>
      <c r="BY105" s="26">
        <f>IF(Y105&gt;3,AS105,0)</f>
        <v>2</v>
      </c>
      <c r="BZ105" s="3"/>
      <c r="CA105" s="127">
        <f t="shared" si="1093"/>
        <v>2677.3255384615386</v>
      </c>
      <c r="CB105" s="43">
        <v>15</v>
      </c>
      <c r="CC105" s="40">
        <f t="shared" si="1094"/>
        <v>99807</v>
      </c>
      <c r="CD105" s="41">
        <f t="shared" si="1095"/>
        <v>52.523817591925024</v>
      </c>
      <c r="CE105" s="42">
        <f t="shared" si="1096"/>
        <v>0.19688989650887692</v>
      </c>
      <c r="CF105" s="40" t="e">
        <f t="shared" si="1097"/>
        <v>#DIV/0!</v>
      </c>
      <c r="CG105" s="131">
        <f>0.4342115704*AC105</f>
        <v>3447.0239565638326</v>
      </c>
      <c r="CH105" s="43">
        <v>30</v>
      </c>
      <c r="CI105" s="40">
        <f t="shared" si="1098"/>
        <v>199599</v>
      </c>
      <c r="CJ105" s="41">
        <f t="shared" si="1099"/>
        <v>105.04592285508292</v>
      </c>
      <c r="CK105" s="42">
        <f t="shared" si="1100"/>
        <v>0.21829561608858458</v>
      </c>
      <c r="CL105" s="40" t="e">
        <f t="shared" si="1101"/>
        <v>#DIV/0!</v>
      </c>
      <c r="CM105" s="119">
        <f>0.4814187216*AC105</f>
        <v>3821.7817755635147</v>
      </c>
      <c r="CN105" s="43">
        <v>70</v>
      </c>
      <c r="CO105" s="40">
        <f t="shared" si="1102"/>
        <v>465711</v>
      </c>
      <c r="CP105" s="41">
        <f t="shared" si="1103"/>
        <v>245.10487022350398</v>
      </c>
      <c r="CQ105" s="42">
        <f t="shared" si="1104"/>
        <v>0.27534443711039031</v>
      </c>
      <c r="CR105" s="40" t="e">
        <f t="shared" si="1105"/>
        <v>#DIV/0!</v>
      </c>
      <c r="CS105" s="40">
        <f>0.6072314657*AC105</f>
        <v>4820.5565031789602</v>
      </c>
      <c r="CT105" s="44">
        <v>3.05</v>
      </c>
      <c r="CU105" s="3"/>
      <c r="CV105" s="40">
        <f t="shared" si="1106"/>
        <v>83532.556799999991</v>
      </c>
      <c r="CW105" s="40">
        <v>15</v>
      </c>
      <c r="CX105" s="40">
        <f t="shared" si="1107"/>
        <v>99807</v>
      </c>
      <c r="CY105" s="41">
        <f t="shared" si="1108"/>
        <v>52.523817591925024</v>
      </c>
      <c r="CZ105" s="42">
        <f t="shared" si="1109"/>
        <v>1.7232769041592579</v>
      </c>
      <c r="DA105" s="40" t="e">
        <f t="shared" si="1110"/>
        <v>#DIV/0!</v>
      </c>
      <c r="DB105" s="21">
        <f>3.8004325466*AC105</f>
        <v>30170.043652607132</v>
      </c>
      <c r="DC105" s="43">
        <v>30</v>
      </c>
      <c r="DD105" s="40">
        <f t="shared" si="1111"/>
        <v>199599</v>
      </c>
      <c r="DE105" s="41">
        <f t="shared" si="1112"/>
        <v>105.04592285508292</v>
      </c>
      <c r="DF105" s="42">
        <f t="shared" si="1113"/>
        <v>1.7561567303548018</v>
      </c>
      <c r="DG105" s="40" t="e">
        <f t="shared" si="1114"/>
        <v>#DIV/0!</v>
      </c>
      <c r="DH105" s="40">
        <f>3.8729441443*AC105</f>
        <v>30745.682883432699</v>
      </c>
      <c r="DI105" s="43">
        <v>70</v>
      </c>
      <c r="DJ105" s="40">
        <f t="shared" si="1115"/>
        <v>465711</v>
      </c>
      <c r="DK105" s="41">
        <f t="shared" si="1116"/>
        <v>245.10487022350398</v>
      </c>
      <c r="DL105" s="42">
        <f t="shared" si="1117"/>
        <v>1.843896454571194</v>
      </c>
      <c r="DM105" s="40" t="e">
        <f t="shared" si="1118"/>
        <v>#DIV/0!</v>
      </c>
      <c r="DN105" s="40">
        <f>4.0664411399*AC105</f>
        <v>32281.774560450634</v>
      </c>
      <c r="DO105" s="44">
        <v>3.9</v>
      </c>
      <c r="DP105" s="7"/>
      <c r="DQ105" s="40">
        <f t="shared" si="1119"/>
        <v>83532.556799999991</v>
      </c>
      <c r="DR105" s="40">
        <v>15</v>
      </c>
      <c r="DS105" s="40">
        <f t="shared" si="1120"/>
        <v>99807</v>
      </c>
      <c r="DT105" s="41">
        <f t="shared" si="1121"/>
        <v>52.523817591925024</v>
      </c>
      <c r="DU105" s="42">
        <f t="shared" si="1122"/>
        <v>0.14021948561870684</v>
      </c>
      <c r="DV105" s="40">
        <f t="shared" si="1123"/>
        <v>58.359797324361139</v>
      </c>
      <c r="DW105" s="40">
        <f>0.5846202711*AC105</f>
        <v>4641.05569116484</v>
      </c>
      <c r="DX105" s="43">
        <v>30</v>
      </c>
      <c r="DY105" s="40">
        <f t="shared" si="1124"/>
        <v>199599</v>
      </c>
      <c r="DZ105" s="41">
        <f t="shared" si="1125"/>
        <v>105.04592285508292</v>
      </c>
      <c r="EA105" s="42">
        <f t="shared" si="1126"/>
        <v>0.14765616469943971</v>
      </c>
      <c r="EB105" s="40">
        <f t="shared" si="1127"/>
        <v>116.71769206120324</v>
      </c>
      <c r="EC105" s="40">
        <f>0.6156261853*AC105</f>
        <v>4887.1986692160817</v>
      </c>
      <c r="ED105" s="43">
        <v>70</v>
      </c>
      <c r="EE105" s="40">
        <f t="shared" si="1128"/>
        <v>465711</v>
      </c>
      <c r="EF105" s="41">
        <f t="shared" si="1129"/>
        <v>245.10487022350398</v>
      </c>
      <c r="EG105" s="42">
        <f t="shared" si="1130"/>
        <v>0.16762964453840218</v>
      </c>
      <c r="EH105" s="40">
        <f t="shared" si="1131"/>
        <v>272.3387446927822</v>
      </c>
      <c r="EI105" s="40">
        <f>0.6989020663*AC105</f>
        <v>5548.2910407218014</v>
      </c>
      <c r="EJ105" s="44">
        <v>3.9</v>
      </c>
    </row>
    <row r="106" spans="1:140">
      <c r="A106" s="48" t="str">
        <f t="shared" si="0"/>
        <v>BmKr</v>
      </c>
      <c r="B106" s="49">
        <v>49</v>
      </c>
      <c r="C106" s="48" t="s">
        <v>91</v>
      </c>
      <c r="D106" s="48" t="s">
        <v>81</v>
      </c>
      <c r="E106" s="48" t="s">
        <v>77</v>
      </c>
      <c r="F106" s="3"/>
      <c r="G106" s="50">
        <v>10000</v>
      </c>
      <c r="H106" s="51">
        <v>7225</v>
      </c>
      <c r="I106" s="51">
        <v>1164</v>
      </c>
      <c r="J106" s="51">
        <v>931</v>
      </c>
      <c r="K106" s="51">
        <v>680</v>
      </c>
      <c r="L106" s="52">
        <f>3537*1</f>
        <v>3537</v>
      </c>
      <c r="M106" s="121"/>
      <c r="N106" s="53">
        <f t="shared" si="1055"/>
        <v>0.35370000000000001</v>
      </c>
      <c r="O106" s="52">
        <f t="shared" si="1056"/>
        <v>5441.5384615384619</v>
      </c>
      <c r="P106" s="52">
        <f t="shared" si="1057"/>
        <v>4353.2307692307695</v>
      </c>
      <c r="Q106" s="52">
        <f t="shared" si="1058"/>
        <v>2176.6153846153848</v>
      </c>
      <c r="R106" s="52">
        <f t="shared" si="1059"/>
        <v>1741.292307692308</v>
      </c>
      <c r="S106" s="52">
        <f t="shared" si="4"/>
        <v>6529.8461538461543</v>
      </c>
      <c r="T106" s="3"/>
      <c r="U106" s="58">
        <f t="shared" si="1060"/>
        <v>3537</v>
      </c>
      <c r="V106" s="56">
        <f t="shared" si="1061"/>
        <v>0.35370000000000001</v>
      </c>
      <c r="W106" s="110">
        <f t="shared" si="1062"/>
        <v>1.7685</v>
      </c>
      <c r="X106" s="3"/>
      <c r="Y106" s="57">
        <v>5</v>
      </c>
      <c r="Z106" s="58">
        <f t="shared" si="1063"/>
        <v>17685</v>
      </c>
      <c r="AA106" s="58">
        <f t="shared" si="1064"/>
        <v>14148</v>
      </c>
      <c r="AB106" s="58">
        <f t="shared" si="1065"/>
        <v>19861.615384615383</v>
      </c>
      <c r="AC106" s="58">
        <f t="shared" si="1066"/>
        <v>16882.373076923075</v>
      </c>
      <c r="AD106" s="58">
        <f t="shared" si="1067"/>
        <v>14148</v>
      </c>
      <c r="AE106" s="58">
        <f t="shared" si="1068"/>
        <v>453.46153846153845</v>
      </c>
      <c r="AF106" s="58">
        <f t="shared" si="1069"/>
        <v>13694.538461538461</v>
      </c>
      <c r="AG106" s="3"/>
      <c r="AH106" s="58">
        <f t="shared" si="1070"/>
        <v>3537</v>
      </c>
      <c r="AI106" s="55">
        <f t="shared" si="1071"/>
        <v>3537</v>
      </c>
      <c r="AJ106" s="51">
        <f>7860</f>
        <v>7860</v>
      </c>
      <c r="AK106" s="58">
        <f t="shared" si="1072"/>
        <v>14934</v>
      </c>
      <c r="AL106" s="51">
        <v>53055</v>
      </c>
      <c r="AM106" s="59">
        <f t="shared" si="1073"/>
        <v>0.2814814814814815</v>
      </c>
      <c r="AN106" s="32"/>
      <c r="AO106" s="50">
        <v>200</v>
      </c>
      <c r="AP106" s="115">
        <f>10.5*1</f>
        <v>10.5</v>
      </c>
      <c r="AQ106" s="55">
        <f t="shared" si="1074"/>
        <v>210.5</v>
      </c>
      <c r="AR106" s="3"/>
      <c r="AS106" s="55">
        <v>1</v>
      </c>
      <c r="AT106" s="3"/>
      <c r="AU106" s="58">
        <v>41</v>
      </c>
      <c r="AV106" s="58">
        <v>78</v>
      </c>
      <c r="AW106" s="58">
        <v>121</v>
      </c>
      <c r="AX106" s="62">
        <f t="shared" si="1075"/>
        <v>345.07317073170731</v>
      </c>
      <c r="AY106" s="62">
        <f t="shared" si="1076"/>
        <v>181.38461538461539</v>
      </c>
      <c r="AZ106" s="62">
        <f t="shared" si="1077"/>
        <v>10.25</v>
      </c>
      <c r="BA106" s="62">
        <f t="shared" si="1078"/>
        <v>19.5</v>
      </c>
      <c r="BB106" s="3"/>
      <c r="BC106" s="58" t="s">
        <v>89</v>
      </c>
      <c r="BD106" s="58">
        <f t="shared" si="1079"/>
        <v>3537</v>
      </c>
      <c r="BE106" s="58">
        <f t="shared" si="1080"/>
        <v>14981.080769230768</v>
      </c>
      <c r="BF106" s="58" t="e" vm="1">
        <f>'[1]4 - Flächen'!AJ106</f>
        <v>#VALUE!</v>
      </c>
      <c r="BG106" s="58" t="e" vm="2">
        <f t="shared" si="1081"/>
        <v>#VALUE!</v>
      </c>
      <c r="BH106" s="58">
        <f t="shared" si="1082"/>
        <v>2176.6153846153848</v>
      </c>
      <c r="BI106" s="58" t="e" vm="2">
        <f t="shared" si="1083"/>
        <v>#VALUE!</v>
      </c>
      <c r="BJ106" s="58">
        <f t="shared" si="1084"/>
        <v>183.38461538461539</v>
      </c>
      <c r="BK106" s="64">
        <v>0.18</v>
      </c>
      <c r="BL106" s="58">
        <f t="shared" si="1085"/>
        <v>2546.64</v>
      </c>
      <c r="BM106" s="58">
        <f t="shared" si="1086"/>
        <v>4171.8461538461543</v>
      </c>
      <c r="BN106" s="58">
        <f t="shared" si="1087"/>
        <v>15780.461538461539</v>
      </c>
      <c r="BO106" s="58">
        <f t="shared" si="1088"/>
        <v>906.92307692307691</v>
      </c>
      <c r="BP106" s="58" cm="1">
        <f t="array" ref="BP106">BE106 - _xlfn.IFS(
    _xlfn.XOR(Y106 &lt; 2.5, Y106 = 2.5), 0.5 * AH106,
    _xlfn.XOR(Y106 &lt; 2.5, Y106 = 2.5) = FALSE, 0
)</f>
        <v>14981.080769230768</v>
      </c>
      <c r="BQ106" s="58">
        <f>16*Y106</f>
        <v>80</v>
      </c>
      <c r="BR106" s="58" t="e" vm="1">
        <f>'[1]4 - Flächen'!AI106</f>
        <v>#VALUE!</v>
      </c>
      <c r="BS106" s="26"/>
      <c r="BT106" s="58">
        <f t="shared" si="1089"/>
        <v>7922.880000000001</v>
      </c>
      <c r="BU106" s="58">
        <f t="shared" si="1090"/>
        <v>80785.08</v>
      </c>
      <c r="BV106" s="58">
        <f t="shared" si="1091"/>
        <v>10338.923076923076</v>
      </c>
      <c r="BW106" s="58">
        <f t="shared" si="1092"/>
        <v>5078.7692307692305</v>
      </c>
      <c r="BX106" s="58"/>
      <c r="BY106" s="58">
        <f t="shared" ref="BY106:BY111" si="1132">BQ106/Y106</f>
        <v>16</v>
      </c>
      <c r="BZ106" s="3"/>
      <c r="CA106" s="128">
        <f t="shared" si="1093"/>
        <v>5693.6630769230769</v>
      </c>
      <c r="CB106" s="68">
        <v>15</v>
      </c>
      <c r="CC106" s="65">
        <f t="shared" si="1094"/>
        <v>212235</v>
      </c>
      <c r="CD106" s="66">
        <f t="shared" si="1095"/>
        <v>111.69644917087238</v>
      </c>
      <c r="CE106" s="67">
        <f t="shared" si="1096"/>
        <v>0.200796482142275</v>
      </c>
      <c r="CF106" s="65" t="e">
        <f t="shared" si="1097"/>
        <v>#DIV/0!</v>
      </c>
      <c r="CG106" s="133">
        <f>0.4428269677*AC106</f>
        <v>7475.9700772339647</v>
      </c>
      <c r="CH106" s="68">
        <v>30</v>
      </c>
      <c r="CI106" s="65">
        <f t="shared" si="1098"/>
        <v>424455</v>
      </c>
      <c r="CJ106" s="66">
        <f t="shared" si="1099"/>
        <v>223.39118601297764</v>
      </c>
      <c r="CK106" s="67">
        <f t="shared" si="1100"/>
        <v>0.21122431026396921</v>
      </c>
      <c r="CL106" s="65" t="e">
        <f t="shared" si="1101"/>
        <v>#DIV/0!</v>
      </c>
      <c r="CM106" s="122">
        <f>0.4658240016*AC106</f>
        <v>7864.2145831964108</v>
      </c>
      <c r="CN106" s="68">
        <v>70</v>
      </c>
      <c r="CO106" s="65">
        <f t="shared" si="1102"/>
        <v>990375</v>
      </c>
      <c r="CP106" s="66">
        <f t="shared" si="1103"/>
        <v>521.24381759192499</v>
      </c>
      <c r="CQ106" s="67">
        <f t="shared" si="1104"/>
        <v>0.26315352712612877</v>
      </c>
      <c r="CR106" s="65" t="e">
        <f t="shared" si="1105"/>
        <v>#DIV/0!</v>
      </c>
      <c r="CS106" s="65">
        <f>0.5803462153*AC106</f>
        <v>9797.621320474922</v>
      </c>
      <c r="CT106" s="69">
        <v>3.05</v>
      </c>
      <c r="CU106" s="3"/>
      <c r="CV106" s="65">
        <f t="shared" si="1106"/>
        <v>177642.288</v>
      </c>
      <c r="CW106" s="65">
        <v>15</v>
      </c>
      <c r="CX106" s="65">
        <f t="shared" si="1107"/>
        <v>212235</v>
      </c>
      <c r="CY106" s="66">
        <f t="shared" si="1108"/>
        <v>111.69644917087238</v>
      </c>
      <c r="CZ106" s="67">
        <f t="shared" si="1109"/>
        <v>1.4764937403562228</v>
      </c>
      <c r="DA106" s="65" t="e">
        <f t="shared" si="1110"/>
        <v>#DIV/0!</v>
      </c>
      <c r="DB106" s="50">
        <f>3.2561887484*AC106</f>
        <v>54972.193259368003</v>
      </c>
      <c r="DC106" s="68">
        <v>30</v>
      </c>
      <c r="DD106" s="65">
        <f t="shared" si="1111"/>
        <v>424455</v>
      </c>
      <c r="DE106" s="66">
        <f t="shared" si="1112"/>
        <v>223.39118601297764</v>
      </c>
      <c r="DF106" s="67">
        <f t="shared" si="1113"/>
        <v>1.4986086195366863</v>
      </c>
      <c r="DG106" s="65" t="e">
        <f t="shared" si="1114"/>
        <v>#DIV/0!</v>
      </c>
      <c r="DH106" s="65">
        <f>3.3049598463*AC106</f>
        <v>55795.565129486946</v>
      </c>
      <c r="DI106" s="68">
        <v>70</v>
      </c>
      <c r="DJ106" s="65">
        <f t="shared" si="1115"/>
        <v>990375</v>
      </c>
      <c r="DK106" s="66">
        <f t="shared" si="1116"/>
        <v>521.24381759192499</v>
      </c>
      <c r="DL106" s="67">
        <f t="shared" si="1117"/>
        <v>1.5816906574633631</v>
      </c>
      <c r="DM106" s="65" t="e">
        <f t="shared" si="1118"/>
        <v>#DIV/0!</v>
      </c>
      <c r="DN106" s="65">
        <f>3.4881850031*AC106</f>
        <v>58888.84058366227</v>
      </c>
      <c r="DO106" s="69">
        <v>3.9</v>
      </c>
      <c r="DP106" s="7"/>
      <c r="DQ106" s="65">
        <f t="shared" si="1119"/>
        <v>177642.288</v>
      </c>
      <c r="DR106" s="65">
        <v>15</v>
      </c>
      <c r="DS106" s="65">
        <f t="shared" si="1120"/>
        <v>212235</v>
      </c>
      <c r="DT106" s="66">
        <f t="shared" si="1121"/>
        <v>111.69644917087238</v>
      </c>
      <c r="DU106" s="67">
        <f t="shared" si="1122"/>
        <v>0.13597099098859844</v>
      </c>
      <c r="DV106" s="65">
        <f t="shared" si="1123"/>
        <v>124.10716574541375</v>
      </c>
      <c r="DW106" s="65">
        <f>0.5669069264*AC106</f>
        <v>9570.7342313765712</v>
      </c>
      <c r="DX106" s="68">
        <v>30</v>
      </c>
      <c r="DY106" s="65">
        <f t="shared" si="1124"/>
        <v>424455</v>
      </c>
      <c r="DZ106" s="66">
        <f t="shared" si="1125"/>
        <v>223.39118601297764</v>
      </c>
      <c r="EA106" s="67">
        <f t="shared" si="1126"/>
        <v>0.13750966741334306</v>
      </c>
      <c r="EB106" s="65">
        <f t="shared" si="1127"/>
        <v>248.21242890330848</v>
      </c>
      <c r="EC106" s="65">
        <f>0.5733221648*AC106</f>
        <v>9679.0386794227743</v>
      </c>
      <c r="ED106" s="68">
        <v>70</v>
      </c>
      <c r="EE106" s="65">
        <f t="shared" si="1128"/>
        <v>990375</v>
      </c>
      <c r="EF106" s="66">
        <f t="shared" si="1129"/>
        <v>521.24381759192499</v>
      </c>
      <c r="EG106" s="67">
        <f t="shared" si="1130"/>
        <v>0.15458291720426448</v>
      </c>
      <c r="EH106" s="65">
        <f t="shared" si="1131"/>
        <v>579.15979732436108</v>
      </c>
      <c r="EI106" s="65">
        <f>0.6445060511*AC106</f>
        <v>10880.791605004648</v>
      </c>
      <c r="EJ106" s="69">
        <v>3.9</v>
      </c>
    </row>
    <row r="107" spans="1:140">
      <c r="A107" s="48" t="str">
        <f t="shared" si="0"/>
        <v>BmKu</v>
      </c>
      <c r="B107" s="49">
        <v>50</v>
      </c>
      <c r="C107" s="48" t="s">
        <v>91</v>
      </c>
      <c r="D107" s="48" t="s">
        <v>81</v>
      </c>
      <c r="E107" s="48" t="s">
        <v>79</v>
      </c>
      <c r="F107" s="3"/>
      <c r="G107" s="50">
        <v>10000</v>
      </c>
      <c r="H107" s="51">
        <v>8500</v>
      </c>
      <c r="I107" s="51">
        <v>600</v>
      </c>
      <c r="J107" s="51">
        <v>560</v>
      </c>
      <c r="K107" s="51">
        <v>340</v>
      </c>
      <c r="L107" s="52">
        <f>(3537*0.25)+(1039.5*1)</f>
        <v>1923.75</v>
      </c>
      <c r="M107" s="177"/>
      <c r="N107" s="53">
        <f t="shared" si="1055"/>
        <v>0.19237499999999999</v>
      </c>
      <c r="O107" s="52">
        <f t="shared" si="1056"/>
        <v>2959.6153846153848</v>
      </c>
      <c r="P107" s="52">
        <f t="shared" si="1057"/>
        <v>2367.6923076923081</v>
      </c>
      <c r="Q107" s="52">
        <f t="shared" si="1058"/>
        <v>1183.8461538461538</v>
      </c>
      <c r="R107" s="52">
        <f t="shared" si="1059"/>
        <v>947.07692307692309</v>
      </c>
      <c r="S107" s="52">
        <f t="shared" si="4"/>
        <v>3551.5384615384614</v>
      </c>
      <c r="T107" s="3"/>
      <c r="U107" s="58">
        <v>1330</v>
      </c>
      <c r="V107" s="56">
        <f t="shared" si="1061"/>
        <v>0.13300000000000001</v>
      </c>
      <c r="W107" s="110">
        <f t="shared" si="1062"/>
        <v>0.96187500000000004</v>
      </c>
      <c r="X107" s="3"/>
      <c r="Y107" s="57">
        <v>5</v>
      </c>
      <c r="Z107" s="58">
        <f t="shared" si="1063"/>
        <v>9618.75</v>
      </c>
      <c r="AA107" s="58">
        <f t="shared" si="1064"/>
        <v>7695</v>
      </c>
      <c r="AB107" s="58">
        <f t="shared" si="1065"/>
        <v>10802.596153846154</v>
      </c>
      <c r="AC107" s="58">
        <f t="shared" si="1066"/>
        <v>9182.2067307692305</v>
      </c>
      <c r="AD107" s="58">
        <f t="shared" si="1067"/>
        <v>7695</v>
      </c>
      <c r="AE107" s="58">
        <f t="shared" si="1068"/>
        <v>246.63461538461542</v>
      </c>
      <c r="AF107" s="58">
        <f t="shared" si="1069"/>
        <v>7448.3653846153848</v>
      </c>
      <c r="AG107" s="3"/>
      <c r="AH107" s="58">
        <f t="shared" si="1070"/>
        <v>1923.75</v>
      </c>
      <c r="AI107" s="55">
        <f t="shared" si="1071"/>
        <v>1923.75</v>
      </c>
      <c r="AJ107" s="51">
        <f>(7860*0.25)+2775</f>
        <v>4740</v>
      </c>
      <c r="AK107" s="58">
        <f t="shared" si="1072"/>
        <v>8587.5</v>
      </c>
      <c r="AL107" s="51">
        <f>(53055*0.25)+15592.5</f>
        <v>28856.25</v>
      </c>
      <c r="AM107" s="59">
        <f t="shared" si="1073"/>
        <v>0.29759584145549056</v>
      </c>
      <c r="AN107" s="32"/>
      <c r="AO107" s="50">
        <v>100</v>
      </c>
      <c r="AP107" s="115">
        <f>10.5*1.25</f>
        <v>13.125</v>
      </c>
      <c r="AQ107" s="55">
        <f t="shared" si="1074"/>
        <v>113.125</v>
      </c>
      <c r="AR107" s="3"/>
      <c r="AS107" s="134">
        <v>1.25</v>
      </c>
      <c r="AT107" s="3"/>
      <c r="AU107" s="58">
        <v>41</v>
      </c>
      <c r="AV107" s="58">
        <v>78</v>
      </c>
      <c r="AW107" s="58">
        <v>121</v>
      </c>
      <c r="AX107" s="62">
        <f t="shared" si="1075"/>
        <v>187.6829268292683</v>
      </c>
      <c r="AY107" s="62">
        <f t="shared" si="1076"/>
        <v>98.65384615384616</v>
      </c>
      <c r="AZ107" s="62">
        <f t="shared" si="1077"/>
        <v>10.25</v>
      </c>
      <c r="BA107" s="62">
        <f t="shared" si="1078"/>
        <v>19.5</v>
      </c>
      <c r="BB107" s="3"/>
      <c r="BC107" s="58" t="s">
        <v>89</v>
      </c>
      <c r="BD107" s="58">
        <f t="shared" si="1079"/>
        <v>1923.75</v>
      </c>
      <c r="BE107" s="58">
        <f t="shared" si="1080"/>
        <v>8155.1298076923076</v>
      </c>
      <c r="BF107" s="58" t="e" vm="1">
        <f>'[1]4 - Flächen'!AJ107</f>
        <v>#VALUE!</v>
      </c>
      <c r="BG107" s="58" t="e" vm="2">
        <f t="shared" si="1081"/>
        <v>#VALUE!</v>
      </c>
      <c r="BH107" s="58">
        <f t="shared" si="1082"/>
        <v>1183.8461538461538</v>
      </c>
      <c r="BI107" s="58" t="e" vm="2">
        <f t="shared" si="1083"/>
        <v>#VALUE!</v>
      </c>
      <c r="BJ107" s="58">
        <f t="shared" si="1084"/>
        <v>101.15384615384616</v>
      </c>
      <c r="BK107" s="64">
        <v>0.18</v>
      </c>
      <c r="BL107" s="58">
        <f t="shared" si="1085"/>
        <v>1385.1</v>
      </c>
      <c r="BM107" s="58">
        <f t="shared" si="1086"/>
        <v>2269.0384615384619</v>
      </c>
      <c r="BN107" s="58">
        <f t="shared" si="1087"/>
        <v>8582.8846153846152</v>
      </c>
      <c r="BO107" s="58">
        <f t="shared" si="1088"/>
        <v>493.26923076923083</v>
      </c>
      <c r="BP107" s="58" cm="1">
        <f t="array" ref="BP107">BE107 - _xlfn.IFS(
    _xlfn.XOR(Y107 &lt; 2.5, Y107 = 2.5), 0.5 * AH107,
    _xlfn.XOR(Y107 &lt; 2.5, Y107 = 2.5) = FALSE, 0
)</f>
        <v>8155.1298076923076</v>
      </c>
      <c r="BQ107" s="58">
        <f t="shared" ref="BQ107:BQ108" si="1133">8*Y107</f>
        <v>40</v>
      </c>
      <c r="BR107" s="58" t="e" vm="1">
        <f>'[1]4 - Flächen'!AI107</f>
        <v>#VALUE!</v>
      </c>
      <c r="BS107" s="26"/>
      <c r="BT107" s="58">
        <f t="shared" si="1089"/>
        <v>4309.2000000000007</v>
      </c>
      <c r="BU107" s="58">
        <f t="shared" si="1090"/>
        <v>43938.45</v>
      </c>
      <c r="BV107" s="58">
        <f t="shared" si="1091"/>
        <v>5623.2692307692314</v>
      </c>
      <c r="BW107" s="58">
        <f t="shared" si="1092"/>
        <v>2762.3076923076924</v>
      </c>
      <c r="BX107" s="58"/>
      <c r="BY107" s="58">
        <f t="shared" si="1132"/>
        <v>8</v>
      </c>
      <c r="BZ107" s="3"/>
      <c r="CA107" s="128">
        <f t="shared" si="1093"/>
        <v>3096.7442307692309</v>
      </c>
      <c r="CB107" s="68">
        <v>15</v>
      </c>
      <c r="CC107" s="65">
        <f t="shared" si="1094"/>
        <v>115440</v>
      </c>
      <c r="CD107" s="66">
        <f t="shared" si="1095"/>
        <v>60.751712328767127</v>
      </c>
      <c r="CE107" s="67">
        <f t="shared" si="1096"/>
        <v>0.20018668240702886</v>
      </c>
      <c r="CF107" s="65" t="e">
        <f t="shared" si="1097"/>
        <v>#DIV/0!</v>
      </c>
      <c r="CG107" s="133">
        <f>0.4414821445*AC107</f>
        <v>4053.7803187423342</v>
      </c>
      <c r="CH107" s="68">
        <v>30</v>
      </c>
      <c r="CI107" s="65">
        <f t="shared" si="1098"/>
        <v>230865</v>
      </c>
      <c r="CJ107" s="66">
        <f t="shared" si="1099"/>
        <v>121.50171232876713</v>
      </c>
      <c r="CK107" s="67">
        <f t="shared" si="1100"/>
        <v>0.21046146722030767</v>
      </c>
      <c r="CL107" s="65" t="e">
        <f t="shared" si="1101"/>
        <v>#DIV/0!</v>
      </c>
      <c r="CM107" s="122">
        <f>0.464141664*AC107</f>
        <v>4261.8447112112308</v>
      </c>
      <c r="CN107" s="68">
        <v>70</v>
      </c>
      <c r="CO107" s="65">
        <f t="shared" si="1102"/>
        <v>538665</v>
      </c>
      <c r="CP107" s="66">
        <f t="shared" si="1103"/>
        <v>283.5017123287671</v>
      </c>
      <c r="CQ107" s="67">
        <f t="shared" si="1104"/>
        <v>0.2616285482727731</v>
      </c>
      <c r="CR107" s="65" t="e">
        <f t="shared" si="1105"/>
        <v>#DIV/0!</v>
      </c>
      <c r="CS107" s="65">
        <f>0.5769830998*AC107</f>
        <v>5297.9781025236543</v>
      </c>
      <c r="CT107" s="69">
        <v>3.05</v>
      </c>
      <c r="CU107" s="3"/>
      <c r="CV107" s="65">
        <f t="shared" si="1106"/>
        <v>96618.42</v>
      </c>
      <c r="CW107" s="65">
        <v>15</v>
      </c>
      <c r="CX107" s="65">
        <f t="shared" si="1107"/>
        <v>115440</v>
      </c>
      <c r="CY107" s="66">
        <f t="shared" si="1108"/>
        <v>60.751712328767127</v>
      </c>
      <c r="CZ107" s="67">
        <f t="shared" si="1109"/>
        <v>1.4755896240514712</v>
      </c>
      <c r="DA107" s="65" t="e">
        <f t="shared" si="1110"/>
        <v>#DIV/0!</v>
      </c>
      <c r="DB107" s="50">
        <f>3.2541948535*AC107</f>
        <v>29880.689887042292</v>
      </c>
      <c r="DC107" s="68">
        <v>30</v>
      </c>
      <c r="DD107" s="65">
        <f t="shared" si="1111"/>
        <v>230865</v>
      </c>
      <c r="DE107" s="66">
        <f t="shared" si="1112"/>
        <v>121.50171232876713</v>
      </c>
      <c r="DF107" s="67">
        <f t="shared" si="1113"/>
        <v>1.497379935666969</v>
      </c>
      <c r="DG107" s="65" t="e">
        <f t="shared" si="1114"/>
        <v>#DIV/0!</v>
      </c>
      <c r="DH107" s="65">
        <f>3.3022501656*AC107</f>
        <v>30321.943697256123</v>
      </c>
      <c r="DI107" s="68">
        <v>70</v>
      </c>
      <c r="DJ107" s="65">
        <f t="shared" si="1115"/>
        <v>538665</v>
      </c>
      <c r="DK107" s="66">
        <f t="shared" si="1116"/>
        <v>283.5017123287671</v>
      </c>
      <c r="DL107" s="67">
        <f t="shared" si="1117"/>
        <v>1.5792426254208807</v>
      </c>
      <c r="DM107" s="65" t="e">
        <f t="shared" si="1118"/>
        <v>#DIV/0!</v>
      </c>
      <c r="DN107" s="65">
        <f>3.4827862302*AC107</f>
        <v>31979.663164772832</v>
      </c>
      <c r="DO107" s="69">
        <v>3.9</v>
      </c>
      <c r="DP107" s="7"/>
      <c r="DQ107" s="65">
        <f t="shared" si="1119"/>
        <v>96618.42</v>
      </c>
      <c r="DR107" s="65">
        <v>15</v>
      </c>
      <c r="DS107" s="65">
        <f t="shared" si="1120"/>
        <v>115440</v>
      </c>
      <c r="DT107" s="66">
        <f t="shared" si="1121"/>
        <v>60.751712328767127</v>
      </c>
      <c r="DU107" s="67">
        <f t="shared" si="1122"/>
        <v>0.13525731503169719</v>
      </c>
      <c r="DV107" s="65">
        <f t="shared" si="1123"/>
        <v>67.501902587519027</v>
      </c>
      <c r="DW107" s="65">
        <f>0.5639313811*AC107</f>
        <v>5178.1345232284075</v>
      </c>
      <c r="DX107" s="68">
        <v>30</v>
      </c>
      <c r="DY107" s="65">
        <f t="shared" si="1124"/>
        <v>230865</v>
      </c>
      <c r="DZ107" s="66">
        <f t="shared" si="1125"/>
        <v>121.50171232876713</v>
      </c>
      <c r="EA107" s="67">
        <f t="shared" si="1126"/>
        <v>0.13677989764304535</v>
      </c>
      <c r="EB107" s="65">
        <f t="shared" si="1127"/>
        <v>135.00190258751903</v>
      </c>
      <c r="EC107" s="65">
        <f>0.5702795192*AC107</f>
        <v>5236.4244396180802</v>
      </c>
      <c r="ED107" s="68">
        <v>70</v>
      </c>
      <c r="EE107" s="65">
        <f t="shared" si="1128"/>
        <v>538665</v>
      </c>
      <c r="EF107" s="66">
        <f t="shared" si="1129"/>
        <v>283.5017123287671</v>
      </c>
      <c r="EG107" s="67">
        <f t="shared" si="1130"/>
        <v>0.1536207808862792</v>
      </c>
      <c r="EH107" s="65">
        <f t="shared" si="1131"/>
        <v>315.001902587519</v>
      </c>
      <c r="EI107" s="65">
        <f>0.6404945944*AC107</f>
        <v>5881.1537757209881</v>
      </c>
      <c r="EJ107" s="69">
        <v>3.9</v>
      </c>
    </row>
    <row r="108" spans="1:140">
      <c r="A108" s="48" t="str">
        <f t="shared" si="0"/>
        <v>BmWe</v>
      </c>
      <c r="B108" s="49">
        <v>51</v>
      </c>
      <c r="C108" s="48" t="s">
        <v>91</v>
      </c>
      <c r="D108" s="48" t="s">
        <v>81</v>
      </c>
      <c r="E108" s="48" t="s">
        <v>80</v>
      </c>
      <c r="F108" s="3"/>
      <c r="G108" s="50">
        <v>10000</v>
      </c>
      <c r="H108" s="51">
        <v>8493</v>
      </c>
      <c r="I108" s="51">
        <v>764</v>
      </c>
      <c r="J108" s="51">
        <v>423</v>
      </c>
      <c r="K108" s="51">
        <v>320</v>
      </c>
      <c r="L108" s="52">
        <f>1039.5*2</f>
        <v>2079</v>
      </c>
      <c r="M108" s="179"/>
      <c r="N108" s="53">
        <f t="shared" si="1055"/>
        <v>0.2079</v>
      </c>
      <c r="O108" s="52">
        <f t="shared" si="1056"/>
        <v>3198.4615384615386</v>
      </c>
      <c r="P108" s="52">
        <f t="shared" si="1057"/>
        <v>2558.7692307692309</v>
      </c>
      <c r="Q108" s="52">
        <f t="shared" si="1058"/>
        <v>1279.3846153846152</v>
      </c>
      <c r="R108" s="52">
        <f t="shared" si="1059"/>
        <v>1023.5076923076922</v>
      </c>
      <c r="S108" s="52">
        <f t="shared" si="4"/>
        <v>3838.1538461538457</v>
      </c>
      <c r="T108" s="3"/>
      <c r="U108" s="58">
        <f t="shared" ref="U108:U111" si="1134">L108+M108</f>
        <v>2079</v>
      </c>
      <c r="V108" s="56">
        <f t="shared" si="1061"/>
        <v>0.2079</v>
      </c>
      <c r="W108" s="110">
        <f t="shared" si="1062"/>
        <v>1.0395000000000001</v>
      </c>
      <c r="X108" s="3"/>
      <c r="Y108" s="57">
        <v>5</v>
      </c>
      <c r="Z108" s="58">
        <f t="shared" si="1063"/>
        <v>10395</v>
      </c>
      <c r="AA108" s="58">
        <f t="shared" si="1064"/>
        <v>8316</v>
      </c>
      <c r="AB108" s="58">
        <f t="shared" si="1065"/>
        <v>11674.384615384615</v>
      </c>
      <c r="AC108" s="58">
        <f t="shared" si="1066"/>
        <v>9923.2269230769234</v>
      </c>
      <c r="AD108" s="58">
        <f t="shared" si="1067"/>
        <v>8316</v>
      </c>
      <c r="AE108" s="58">
        <f t="shared" si="1068"/>
        <v>266.53846153846155</v>
      </c>
      <c r="AF108" s="58">
        <f t="shared" si="1069"/>
        <v>8049.4615384615381</v>
      </c>
      <c r="AG108" s="3"/>
      <c r="AH108" s="58">
        <f t="shared" si="1070"/>
        <v>2079</v>
      </c>
      <c r="AI108" s="55">
        <f t="shared" si="1071"/>
        <v>2079</v>
      </c>
      <c r="AJ108" s="51">
        <f>2775*2</f>
        <v>5550</v>
      </c>
      <c r="AK108" s="58">
        <f t="shared" si="1072"/>
        <v>9708</v>
      </c>
      <c r="AL108" s="51">
        <f>15992.5*2</f>
        <v>31985</v>
      </c>
      <c r="AM108" s="59">
        <f t="shared" si="1073"/>
        <v>0.30351727372205722</v>
      </c>
      <c r="AN108" s="32"/>
      <c r="AO108" s="50">
        <v>90</v>
      </c>
      <c r="AP108" s="60">
        <f>10.5*2</f>
        <v>21</v>
      </c>
      <c r="AQ108" s="55">
        <f t="shared" si="1074"/>
        <v>111</v>
      </c>
      <c r="AR108" s="3"/>
      <c r="AS108" s="55">
        <v>2</v>
      </c>
      <c r="AT108" s="3"/>
      <c r="AU108" s="58">
        <v>41</v>
      </c>
      <c r="AV108" s="58">
        <v>78</v>
      </c>
      <c r="AW108" s="58">
        <v>121</v>
      </c>
      <c r="AX108" s="62">
        <f t="shared" si="1075"/>
        <v>202.82926829268294</v>
      </c>
      <c r="AY108" s="62">
        <f t="shared" si="1076"/>
        <v>106.61538461538461</v>
      </c>
      <c r="AZ108" s="62">
        <f t="shared" si="1077"/>
        <v>10.25</v>
      </c>
      <c r="BA108" s="62">
        <f t="shared" si="1078"/>
        <v>19.5</v>
      </c>
      <c r="BB108" s="3"/>
      <c r="BC108" s="58" t="s">
        <v>89</v>
      </c>
      <c r="BD108" s="58">
        <f t="shared" si="1079"/>
        <v>2079</v>
      </c>
      <c r="BE108" s="58">
        <f t="shared" si="1080"/>
        <v>8819.7192307692312</v>
      </c>
      <c r="BF108" s="58" t="e" vm="1">
        <f>'[1]4 - Flächen'!AJ108</f>
        <v>#VALUE!</v>
      </c>
      <c r="BG108" s="58" t="e" vm="2">
        <f t="shared" si="1081"/>
        <v>#VALUE!</v>
      </c>
      <c r="BH108" s="58">
        <f t="shared" si="1082"/>
        <v>1279.3846153846152</v>
      </c>
      <c r="BI108" s="58" t="e" vm="2">
        <f t="shared" si="1083"/>
        <v>#VALUE!</v>
      </c>
      <c r="BJ108" s="58">
        <f t="shared" si="1084"/>
        <v>110.61538461538461</v>
      </c>
      <c r="BK108" s="64">
        <v>0.18</v>
      </c>
      <c r="BL108" s="58">
        <f t="shared" si="1085"/>
        <v>1496.8799999999999</v>
      </c>
      <c r="BM108" s="58">
        <f t="shared" si="1086"/>
        <v>2452.1538461538462</v>
      </c>
      <c r="BN108" s="58">
        <f t="shared" si="1087"/>
        <v>9275.538461538461</v>
      </c>
      <c r="BO108" s="58">
        <f t="shared" si="1088"/>
        <v>533.07692307692309</v>
      </c>
      <c r="BP108" s="58" cm="1">
        <f t="array" ref="BP108">BE108 - _xlfn.IFS(
    _xlfn.XOR(Y108 &lt; 2.5, Y108 = 2.5), 0.5 * AH108,
    _xlfn.XOR(Y108 &lt; 2.5, Y108 = 2.5) = FALSE, 0
)</f>
        <v>8819.7192307692312</v>
      </c>
      <c r="BQ108" s="58">
        <f t="shared" si="1133"/>
        <v>40</v>
      </c>
      <c r="BR108" s="58" t="e" vm="1">
        <f>'[1]4 - Flächen'!AI108</f>
        <v>#VALUE!</v>
      </c>
      <c r="BS108" s="26"/>
      <c r="BT108" s="58">
        <f t="shared" si="1089"/>
        <v>4656.96</v>
      </c>
      <c r="BU108" s="58">
        <f t="shared" si="1090"/>
        <v>47484.36</v>
      </c>
      <c r="BV108" s="58">
        <f t="shared" si="1091"/>
        <v>6077.0769230769229</v>
      </c>
      <c r="BW108" s="58">
        <f t="shared" si="1092"/>
        <v>2985.2307692307691</v>
      </c>
      <c r="BX108" s="58"/>
      <c r="BY108" s="58">
        <f t="shared" si="1132"/>
        <v>8</v>
      </c>
      <c r="BZ108" s="3"/>
      <c r="CA108" s="128">
        <f t="shared" si="1093"/>
        <v>3346.6569230769228</v>
      </c>
      <c r="CB108" s="68">
        <v>15</v>
      </c>
      <c r="CC108" s="65">
        <f t="shared" si="1094"/>
        <v>124755</v>
      </c>
      <c r="CD108" s="66">
        <f t="shared" si="1095"/>
        <v>65.654343907714491</v>
      </c>
      <c r="CE108" s="67">
        <f t="shared" si="1096"/>
        <v>0.2030225181718231</v>
      </c>
      <c r="CF108" s="65" t="e">
        <f t="shared" si="1097"/>
        <v>#DIV/0!</v>
      </c>
      <c r="CG108" s="133">
        <f>0.4477361612*AC108</f>
        <v>4442.9875292549495</v>
      </c>
      <c r="CH108" s="68">
        <v>30</v>
      </c>
      <c r="CI108" s="65">
        <f t="shared" si="1098"/>
        <v>249495</v>
      </c>
      <c r="CJ108" s="66">
        <f t="shared" si="1099"/>
        <v>131.30697548666186</v>
      </c>
      <c r="CK108" s="67">
        <f t="shared" si="1100"/>
        <v>0.21370437759739228</v>
      </c>
      <c r="CL108" s="65" t="e">
        <f t="shared" si="1101"/>
        <v>#DIV/0!</v>
      </c>
      <c r="CM108" s="122">
        <f>0.4712934236*AC108</f>
        <v>4676.7515897366166</v>
      </c>
      <c r="CN108" s="68">
        <v>70</v>
      </c>
      <c r="CO108" s="65">
        <f t="shared" si="1102"/>
        <v>582135</v>
      </c>
      <c r="CP108" s="66">
        <f t="shared" si="1103"/>
        <v>306.38065969718815</v>
      </c>
      <c r="CQ108" s="67">
        <f t="shared" si="1104"/>
        <v>0.26689863701123656</v>
      </c>
      <c r="CR108" s="65" t="e">
        <f t="shared" si="1105"/>
        <v>#DIV/0!</v>
      </c>
      <c r="CS108" s="65">
        <f>0.5886055017*AC108</f>
        <v>5840.8659615406405</v>
      </c>
      <c r="CT108" s="69">
        <v>3.05</v>
      </c>
      <c r="CU108" s="3"/>
      <c r="CV108" s="65">
        <f t="shared" si="1106"/>
        <v>104415.696</v>
      </c>
      <c r="CW108" s="65">
        <v>15</v>
      </c>
      <c r="CX108" s="65">
        <f t="shared" si="1107"/>
        <v>124755</v>
      </c>
      <c r="CY108" s="66">
        <f t="shared" si="1108"/>
        <v>65.654343907714491</v>
      </c>
      <c r="CZ108" s="67">
        <f t="shared" si="1109"/>
        <v>1.4778240166599961</v>
      </c>
      <c r="DA108" s="65" t="e">
        <f t="shared" si="1110"/>
        <v>#DIV/0!</v>
      </c>
      <c r="DB108" s="50">
        <f>3.2591224762*AC108</f>
        <v>32341.011901432968</v>
      </c>
      <c r="DC108" s="68">
        <v>30</v>
      </c>
      <c r="DD108" s="65">
        <f t="shared" si="1111"/>
        <v>249495</v>
      </c>
      <c r="DE108" s="66">
        <f t="shared" si="1112"/>
        <v>131.30697548666186</v>
      </c>
      <c r="DF108" s="67">
        <f t="shared" si="1113"/>
        <v>1.5004776342737676</v>
      </c>
      <c r="DG108" s="65" t="e">
        <f t="shared" si="1114"/>
        <v>#DIV/0!</v>
      </c>
      <c r="DH108" s="65">
        <f>3.3090816821*AC108</f>
        <v>32836.768438475396</v>
      </c>
      <c r="DI108" s="68">
        <v>70</v>
      </c>
      <c r="DJ108" s="65">
        <f t="shared" si="1115"/>
        <v>582135</v>
      </c>
      <c r="DK108" s="66">
        <f t="shared" si="1116"/>
        <v>306.38065969718815</v>
      </c>
      <c r="DL108" s="67">
        <f t="shared" si="1117"/>
        <v>1.5855836255894424</v>
      </c>
      <c r="DM108" s="65" t="e">
        <f t="shared" si="1118"/>
        <v>#DIV/0!</v>
      </c>
      <c r="DN108" s="65">
        <f>3.496770369*AC108</f>
        <v>34699.245869478429</v>
      </c>
      <c r="DO108" s="69">
        <v>3.9</v>
      </c>
      <c r="DP108" s="7"/>
      <c r="DQ108" s="65">
        <f t="shared" si="1119"/>
        <v>104415.696</v>
      </c>
      <c r="DR108" s="65">
        <v>15</v>
      </c>
      <c r="DS108" s="65">
        <f t="shared" si="1120"/>
        <v>124755</v>
      </c>
      <c r="DT108" s="66">
        <f t="shared" si="1121"/>
        <v>65.654343907714491</v>
      </c>
      <c r="DU108" s="67">
        <f t="shared" si="1122"/>
        <v>0.13792319048728069</v>
      </c>
      <c r="DV108" s="65">
        <f t="shared" si="1123"/>
        <v>72.949271008571657</v>
      </c>
      <c r="DW108" s="65">
        <f>0.5750462759*AC108</f>
        <v>5706.3146870260007</v>
      </c>
      <c r="DX108" s="68">
        <v>30</v>
      </c>
      <c r="DY108" s="65">
        <f t="shared" si="1124"/>
        <v>249495</v>
      </c>
      <c r="DZ108" s="66">
        <f t="shared" si="1125"/>
        <v>131.30697548666186</v>
      </c>
      <c r="EA108" s="67">
        <f t="shared" si="1126"/>
        <v>0.13951226629818228</v>
      </c>
      <c r="EB108" s="65">
        <f t="shared" si="1127"/>
        <v>145.89663942962429</v>
      </c>
      <c r="EC108" s="65">
        <f>0.5816716456*AC108</f>
        <v>5772.0597340083777</v>
      </c>
      <c r="ED108" s="68">
        <v>70</v>
      </c>
      <c r="EE108" s="65">
        <f t="shared" si="1128"/>
        <v>582135</v>
      </c>
      <c r="EF108" s="66">
        <f t="shared" si="1129"/>
        <v>306.38065969718815</v>
      </c>
      <c r="EG108" s="67">
        <f t="shared" si="1130"/>
        <v>0.15703783026061502</v>
      </c>
      <c r="EH108" s="65">
        <f t="shared" si="1131"/>
        <v>340.42295521909796</v>
      </c>
      <c r="EI108" s="65">
        <f>0.6547413756*AC108</f>
        <v>6497.1472460063405</v>
      </c>
      <c r="EJ108" s="69">
        <v>3.9</v>
      </c>
    </row>
    <row r="109" spans="1:140">
      <c r="A109" s="70" t="str">
        <f t="shared" si="0"/>
        <v>BhKr</v>
      </c>
      <c r="B109" s="71">
        <v>52</v>
      </c>
      <c r="C109" s="70" t="s">
        <v>91</v>
      </c>
      <c r="D109" s="70" t="s">
        <v>82</v>
      </c>
      <c r="E109" s="70" t="s">
        <v>77</v>
      </c>
      <c r="F109" s="3"/>
      <c r="G109" s="72">
        <v>10000</v>
      </c>
      <c r="H109" s="73">
        <v>7225</v>
      </c>
      <c r="I109" s="73">
        <v>1164</v>
      </c>
      <c r="J109" s="73">
        <v>931</v>
      </c>
      <c r="K109" s="73">
        <v>680</v>
      </c>
      <c r="L109" s="72">
        <f>3537*1</f>
        <v>3537</v>
      </c>
      <c r="M109" s="123"/>
      <c r="N109" s="75">
        <f t="shared" si="1055"/>
        <v>0.35370000000000001</v>
      </c>
      <c r="O109" s="124">
        <f t="shared" si="1056"/>
        <v>6529.8461538461552</v>
      </c>
      <c r="P109" s="124">
        <f t="shared" si="1057"/>
        <v>5223.8769230769249</v>
      </c>
      <c r="Q109" s="124">
        <f t="shared" si="1058"/>
        <v>2611.938461538462</v>
      </c>
      <c r="R109" s="124">
        <f t="shared" si="1059"/>
        <v>2089.5507692307697</v>
      </c>
      <c r="S109" s="72">
        <f t="shared" si="4"/>
        <v>7835.8153846153855</v>
      </c>
      <c r="T109" s="3"/>
      <c r="U109" s="77">
        <f t="shared" si="1134"/>
        <v>3537</v>
      </c>
      <c r="V109" s="78">
        <f t="shared" si="1061"/>
        <v>0.35370000000000001</v>
      </c>
      <c r="W109" s="111">
        <f t="shared" si="1062"/>
        <v>2.1221999999999999</v>
      </c>
      <c r="X109" s="3"/>
      <c r="Y109" s="79">
        <v>6</v>
      </c>
      <c r="Z109" s="77">
        <f t="shared" si="1063"/>
        <v>21222</v>
      </c>
      <c r="AA109" s="77">
        <f t="shared" si="1064"/>
        <v>16977.600000000002</v>
      </c>
      <c r="AB109" s="77">
        <f t="shared" si="1065"/>
        <v>23833.938461538462</v>
      </c>
      <c r="AC109" s="77">
        <f t="shared" si="1066"/>
        <v>20258.847692307692</v>
      </c>
      <c r="AD109" s="77">
        <f t="shared" si="1067"/>
        <v>16977.600000000002</v>
      </c>
      <c r="AE109" s="77">
        <f t="shared" si="1068"/>
        <v>544.15384615384619</v>
      </c>
      <c r="AF109" s="77">
        <f t="shared" si="1069"/>
        <v>16433.446153846155</v>
      </c>
      <c r="AG109" s="3"/>
      <c r="AH109" s="77">
        <f t="shared" si="1070"/>
        <v>3537</v>
      </c>
      <c r="AI109" s="77">
        <f t="shared" si="1071"/>
        <v>3537</v>
      </c>
      <c r="AJ109" s="77">
        <v>9432</v>
      </c>
      <c r="AK109" s="77">
        <f t="shared" si="1072"/>
        <v>16506</v>
      </c>
      <c r="AL109" s="77">
        <v>63666</v>
      </c>
      <c r="AM109" s="80">
        <f t="shared" si="1073"/>
        <v>0.25925925925925924</v>
      </c>
      <c r="AN109" s="32"/>
      <c r="AO109" s="72">
        <v>200</v>
      </c>
      <c r="AP109" s="116">
        <f>10.5*1</f>
        <v>10.5</v>
      </c>
      <c r="AQ109" s="82">
        <f t="shared" si="1074"/>
        <v>210.5</v>
      </c>
      <c r="AR109" s="3"/>
      <c r="AS109" s="82">
        <v>1</v>
      </c>
      <c r="AT109" s="3"/>
      <c r="AU109" s="77">
        <v>41</v>
      </c>
      <c r="AV109" s="77">
        <v>78</v>
      </c>
      <c r="AW109" s="77">
        <v>121</v>
      </c>
      <c r="AX109" s="83">
        <f t="shared" si="1075"/>
        <v>414.08780487804881</v>
      </c>
      <c r="AY109" s="83">
        <f t="shared" si="1076"/>
        <v>217.6615384615385</v>
      </c>
      <c r="AZ109" s="83">
        <f t="shared" si="1077"/>
        <v>8.5416666666666661</v>
      </c>
      <c r="BA109" s="83">
        <f t="shared" si="1078"/>
        <v>16.249999999999996</v>
      </c>
      <c r="BB109" s="3"/>
      <c r="BC109" s="77" t="s">
        <v>89</v>
      </c>
      <c r="BD109" s="77">
        <f t="shared" si="1079"/>
        <v>3537</v>
      </c>
      <c r="BE109" s="77">
        <f t="shared" si="1080"/>
        <v>17977.296923076923</v>
      </c>
      <c r="BF109" s="77" t="e" vm="1">
        <f>'[1]4 - Flächen'!AJ109</f>
        <v>#VALUE!</v>
      </c>
      <c r="BG109" s="77" t="e" vm="2">
        <f t="shared" si="1081"/>
        <v>#VALUE!</v>
      </c>
      <c r="BH109" s="77">
        <f t="shared" si="1082"/>
        <v>2611.938461538462</v>
      </c>
      <c r="BI109" s="77" t="e" vm="2">
        <f t="shared" si="1083"/>
        <v>#VALUE!</v>
      </c>
      <c r="BJ109" s="77">
        <f t="shared" si="1084"/>
        <v>219.6615384615385</v>
      </c>
      <c r="BK109" s="85">
        <v>0.18</v>
      </c>
      <c r="BL109" s="77">
        <f t="shared" si="1085"/>
        <v>3055.9680000000003</v>
      </c>
      <c r="BM109" s="77">
        <f t="shared" si="1086"/>
        <v>5006.2153846153851</v>
      </c>
      <c r="BN109" s="77">
        <f t="shared" si="1087"/>
        <v>18936.553846153849</v>
      </c>
      <c r="BO109" s="77">
        <f t="shared" si="1088"/>
        <v>1088.3076923076924</v>
      </c>
      <c r="BP109" s="77" cm="1">
        <f t="array" ref="BP109">BE109 - _xlfn.IFS(
    _xlfn.XOR(Y109 &lt; 2.5, Y109 = 2.5), 0.5 * AH109,
    _xlfn.XOR(Y109 &lt; 2.5, Y109 = 2.5) = FALSE, 0
)</f>
        <v>17977.296923076923</v>
      </c>
      <c r="BQ109" s="77">
        <f>16*Y109</f>
        <v>96</v>
      </c>
      <c r="BR109" s="77" t="e" vm="1">
        <f>'[1]4 - Flächen'!AI109</f>
        <v>#VALUE!</v>
      </c>
      <c r="BS109" s="26"/>
      <c r="BT109" s="77">
        <f t="shared" si="1089"/>
        <v>9507.4560000000019</v>
      </c>
      <c r="BU109" s="77">
        <f t="shared" si="1090"/>
        <v>96942.096000000005</v>
      </c>
      <c r="BV109" s="77">
        <f t="shared" si="1091"/>
        <v>12406.707692307695</v>
      </c>
      <c r="BW109" s="77">
        <f t="shared" si="1092"/>
        <v>6094.5230769230784</v>
      </c>
      <c r="BX109" s="77"/>
      <c r="BY109" s="77">
        <f t="shared" si="1132"/>
        <v>16</v>
      </c>
      <c r="BZ109" s="3"/>
      <c r="CA109" s="130">
        <f t="shared" si="1093"/>
        <v>6832.395692307693</v>
      </c>
      <c r="CB109" s="89">
        <v>15</v>
      </c>
      <c r="CC109" s="86">
        <f t="shared" si="1094"/>
        <v>254679.00000000003</v>
      </c>
      <c r="CD109" s="87">
        <f t="shared" si="1095"/>
        <v>134.03539653929346</v>
      </c>
      <c r="CE109" s="88">
        <f t="shared" si="1096"/>
        <v>0.19560965321071147</v>
      </c>
      <c r="CF109" s="86" t="e">
        <f t="shared" si="1097"/>
        <v>#DIV/0!</v>
      </c>
      <c r="CG109" s="135">
        <f>0.431388183*AC109</f>
        <v>8739.4274956583577</v>
      </c>
      <c r="CH109" s="89">
        <v>30</v>
      </c>
      <c r="CI109" s="86">
        <f t="shared" si="1098"/>
        <v>509343.00000000006</v>
      </c>
      <c r="CJ109" s="87">
        <f t="shared" si="1099"/>
        <v>268.06908074981976</v>
      </c>
      <c r="CK109" s="88">
        <f t="shared" si="1100"/>
        <v>0.21962044564335767</v>
      </c>
      <c r="CL109" s="86" t="e">
        <f t="shared" si="1101"/>
        <v>#DIV/0!</v>
      </c>
      <c r="CM109" s="125">
        <f>0.4843404374*AC109</f>
        <v>9812.1791525122881</v>
      </c>
      <c r="CN109" s="89">
        <v>70</v>
      </c>
      <c r="CO109" s="86">
        <f t="shared" si="1102"/>
        <v>1188447.0000000002</v>
      </c>
      <c r="CP109" s="87">
        <f t="shared" si="1103"/>
        <v>625.49223864455666</v>
      </c>
      <c r="CQ109" s="88">
        <f t="shared" si="1104"/>
        <v>0.25631932401699425</v>
      </c>
      <c r="CR109" s="86" t="e">
        <f t="shared" si="1105"/>
        <v>#DIV/0!</v>
      </c>
      <c r="CS109" s="86">
        <f>0.5652743903*AC109</f>
        <v>11451.807777449794</v>
      </c>
      <c r="CT109" s="90">
        <v>3.05</v>
      </c>
      <c r="CU109" s="3"/>
      <c r="CV109" s="86">
        <f t="shared" si="1106"/>
        <v>213170.74560000002</v>
      </c>
      <c r="CW109" s="86">
        <v>15</v>
      </c>
      <c r="CX109" s="86">
        <f t="shared" si="1107"/>
        <v>254679.00000000003</v>
      </c>
      <c r="CY109" s="87">
        <f t="shared" si="1108"/>
        <v>134.03539653929346</v>
      </c>
      <c r="CZ109" s="88">
        <f t="shared" si="1109"/>
        <v>1.2910407836109901</v>
      </c>
      <c r="DA109" s="86" t="e">
        <f t="shared" si="1110"/>
        <v>#DIV/0!</v>
      </c>
      <c r="DB109" s="72">
        <f>2.8471996585*AC109</f>
        <v>57680.984231141978</v>
      </c>
      <c r="DC109" s="89">
        <v>30</v>
      </c>
      <c r="DD109" s="86">
        <f t="shared" si="1111"/>
        <v>509343.00000000006</v>
      </c>
      <c r="DE109" s="87">
        <f t="shared" si="1112"/>
        <v>268.06908074981976</v>
      </c>
      <c r="DF109" s="88">
        <f t="shared" si="1113"/>
        <v>1.3267417609328824</v>
      </c>
      <c r="DG109" s="86" t="e">
        <f t="shared" si="1114"/>
        <v>#DIV/0!</v>
      </c>
      <c r="DH109" s="86">
        <f>2.9259328881*AC109</f>
        <v>59276.028737931869</v>
      </c>
      <c r="DI109" s="89">
        <v>70</v>
      </c>
      <c r="DJ109" s="86">
        <f t="shared" si="1115"/>
        <v>1188447.0000000002</v>
      </c>
      <c r="DK109" s="87">
        <f t="shared" si="1116"/>
        <v>625.49223864455666</v>
      </c>
      <c r="DL109" s="88">
        <f t="shared" si="1117"/>
        <v>1.3945618071959287</v>
      </c>
      <c r="DM109" s="86" t="e">
        <f t="shared" si="1118"/>
        <v>#DIV/0!</v>
      </c>
      <c r="DN109" s="86">
        <f>3.0754999777*AC109</f>
        <v>62306.085625920001</v>
      </c>
      <c r="DO109" s="90">
        <v>3.9</v>
      </c>
      <c r="DP109" s="7"/>
      <c r="DQ109" s="86">
        <f t="shared" si="1119"/>
        <v>213170.74560000002</v>
      </c>
      <c r="DR109" s="86">
        <v>15</v>
      </c>
      <c r="DS109" s="86">
        <f t="shared" si="1120"/>
        <v>254679.00000000003</v>
      </c>
      <c r="DT109" s="87">
        <f t="shared" si="1121"/>
        <v>134.03539653929346</v>
      </c>
      <c r="DU109" s="88">
        <f t="shared" si="1122"/>
        <v>0.1286430564073722</v>
      </c>
      <c r="DV109" s="86">
        <f t="shared" si="1123"/>
        <v>148.92821837699273</v>
      </c>
      <c r="DW109" s="86">
        <f>0.5363544031*AC109</f>
        <v>10865.922161501505</v>
      </c>
      <c r="DX109" s="89">
        <v>30</v>
      </c>
      <c r="DY109" s="86">
        <f t="shared" si="1124"/>
        <v>509343.00000000006</v>
      </c>
      <c r="DZ109" s="87">
        <f t="shared" si="1125"/>
        <v>268.06908074981976</v>
      </c>
      <c r="EA109" s="88">
        <f t="shared" si="1126"/>
        <v>0.13874539397798796</v>
      </c>
      <c r="EB109" s="86">
        <f t="shared" si="1127"/>
        <v>297.85453416646641</v>
      </c>
      <c r="EC109" s="86">
        <f>0.5784743075*AC109</f>
        <v>11719.222889555664</v>
      </c>
      <c r="ED109" s="89">
        <v>70</v>
      </c>
      <c r="EE109" s="86">
        <f t="shared" si="1128"/>
        <v>1188447.0000000002</v>
      </c>
      <c r="EF109" s="87">
        <f t="shared" si="1129"/>
        <v>625.49223864455666</v>
      </c>
      <c r="EG109" s="88">
        <f t="shared" si="1130"/>
        <v>0.14930746819684065</v>
      </c>
      <c r="EH109" s="86">
        <f t="shared" si="1131"/>
        <v>694.99137627172956</v>
      </c>
      <c r="EI109" s="86">
        <f>0.6225110023*AC109</f>
        <v>12611.355582381504</v>
      </c>
      <c r="EJ109" s="90">
        <v>3.9</v>
      </c>
    </row>
    <row r="110" spans="1:140">
      <c r="A110" s="70" t="str">
        <f t="shared" si="0"/>
        <v>BhKu</v>
      </c>
      <c r="B110" s="71">
        <v>53</v>
      </c>
      <c r="C110" s="70" t="s">
        <v>91</v>
      </c>
      <c r="D110" s="70" t="s">
        <v>82</v>
      </c>
      <c r="E110" s="70" t="s">
        <v>79</v>
      </c>
      <c r="F110" s="3"/>
      <c r="G110" s="72">
        <v>10000</v>
      </c>
      <c r="H110" s="73">
        <v>8500</v>
      </c>
      <c r="I110" s="73">
        <v>600</v>
      </c>
      <c r="J110" s="73">
        <v>560</v>
      </c>
      <c r="K110" s="73">
        <v>340</v>
      </c>
      <c r="L110" s="72">
        <f>(3537*0.25)+(1039.5*1)</f>
        <v>1923.75</v>
      </c>
      <c r="M110" s="183"/>
      <c r="N110" s="75">
        <f t="shared" si="1055"/>
        <v>0.19237499999999999</v>
      </c>
      <c r="O110" s="124">
        <f t="shared" si="1056"/>
        <v>3551.5384615384614</v>
      </c>
      <c r="P110" s="124">
        <f t="shared" si="1057"/>
        <v>2841.2307692307695</v>
      </c>
      <c r="Q110" s="124">
        <f t="shared" si="1058"/>
        <v>1420.6153846153848</v>
      </c>
      <c r="R110" s="124">
        <f t="shared" si="1059"/>
        <v>1136.4923076923078</v>
      </c>
      <c r="S110" s="72">
        <f t="shared" si="4"/>
        <v>4261.8461538461543</v>
      </c>
      <c r="T110" s="3"/>
      <c r="U110" s="77">
        <f t="shared" si="1134"/>
        <v>1923.75</v>
      </c>
      <c r="V110" s="78">
        <f t="shared" si="1061"/>
        <v>0.19237499999999999</v>
      </c>
      <c r="W110" s="111">
        <f t="shared" si="1062"/>
        <v>1.15425</v>
      </c>
      <c r="X110" s="3"/>
      <c r="Y110" s="79">
        <v>6</v>
      </c>
      <c r="Z110" s="77">
        <f t="shared" si="1063"/>
        <v>11542.5</v>
      </c>
      <c r="AA110" s="77">
        <f t="shared" si="1064"/>
        <v>9234</v>
      </c>
      <c r="AB110" s="77">
        <f t="shared" si="1065"/>
        <v>12963.115384615385</v>
      </c>
      <c r="AC110" s="77">
        <f t="shared" si="1066"/>
        <v>11018.648076923077</v>
      </c>
      <c r="AD110" s="77">
        <f t="shared" si="1067"/>
        <v>9234</v>
      </c>
      <c r="AE110" s="77">
        <f t="shared" si="1068"/>
        <v>295.96153846153845</v>
      </c>
      <c r="AF110" s="77">
        <f t="shared" si="1069"/>
        <v>8938.038461538461</v>
      </c>
      <c r="AG110" s="3"/>
      <c r="AH110" s="77">
        <f t="shared" si="1070"/>
        <v>1923.75</v>
      </c>
      <c r="AI110" s="77">
        <f t="shared" si="1071"/>
        <v>1923.75</v>
      </c>
      <c r="AJ110" s="77">
        <f>(9432*0.25)+3330</f>
        <v>5688</v>
      </c>
      <c r="AK110" s="77">
        <f t="shared" si="1072"/>
        <v>9535.5</v>
      </c>
      <c r="AL110" s="77">
        <f>(63666*0.25)+18711</f>
        <v>34627.5</v>
      </c>
      <c r="AM110" s="80">
        <f t="shared" si="1073"/>
        <v>0.27537361923326836</v>
      </c>
      <c r="AN110" s="32"/>
      <c r="AO110" s="72">
        <v>100</v>
      </c>
      <c r="AP110" s="116">
        <f>10.5*1.25</f>
        <v>13.125</v>
      </c>
      <c r="AQ110" s="82">
        <f t="shared" si="1074"/>
        <v>113.125</v>
      </c>
      <c r="AR110" s="3"/>
      <c r="AS110" s="136">
        <v>1.25</v>
      </c>
      <c r="AT110" s="3"/>
      <c r="AU110" s="77">
        <v>41</v>
      </c>
      <c r="AV110" s="77">
        <v>78</v>
      </c>
      <c r="AW110" s="77">
        <v>121</v>
      </c>
      <c r="AX110" s="83">
        <f t="shared" si="1075"/>
        <v>225.21951219512195</v>
      </c>
      <c r="AY110" s="83">
        <f t="shared" si="1076"/>
        <v>118.38461538461539</v>
      </c>
      <c r="AZ110" s="83">
        <f t="shared" si="1077"/>
        <v>8.5416666666666661</v>
      </c>
      <c r="BA110" s="83">
        <f t="shared" si="1078"/>
        <v>16.25</v>
      </c>
      <c r="BB110" s="3"/>
      <c r="BC110" s="77" t="s">
        <v>89</v>
      </c>
      <c r="BD110" s="77">
        <f t="shared" si="1079"/>
        <v>1923.75</v>
      </c>
      <c r="BE110" s="77">
        <f t="shared" si="1080"/>
        <v>9786.1557692307688</v>
      </c>
      <c r="BF110" s="77" t="e" vm="1">
        <f>'[1]4 - Flächen'!AJ110</f>
        <v>#VALUE!</v>
      </c>
      <c r="BG110" s="77" t="e" vm="2">
        <f t="shared" si="1081"/>
        <v>#VALUE!</v>
      </c>
      <c r="BH110" s="77">
        <f t="shared" si="1082"/>
        <v>1420.6153846153848</v>
      </c>
      <c r="BI110" s="77" t="e" vm="2">
        <f t="shared" si="1083"/>
        <v>#VALUE!</v>
      </c>
      <c r="BJ110" s="77">
        <f t="shared" si="1084"/>
        <v>120.88461538461539</v>
      </c>
      <c r="BK110" s="85">
        <v>0.18</v>
      </c>
      <c r="BL110" s="77">
        <f t="shared" si="1085"/>
        <v>1662.12</v>
      </c>
      <c r="BM110" s="77">
        <f t="shared" si="1086"/>
        <v>2722.8461538461538</v>
      </c>
      <c r="BN110" s="77">
        <f t="shared" si="1087"/>
        <v>10299.461538461539</v>
      </c>
      <c r="BO110" s="77">
        <f t="shared" si="1088"/>
        <v>591.92307692307691</v>
      </c>
      <c r="BP110" s="77" cm="1">
        <f t="array" ref="BP110">BE110 - _xlfn.IFS(
    _xlfn.XOR(Y110 &lt; 2.5, Y110 = 2.5), 0.5 * AH110,
    _xlfn.XOR(Y110 &lt; 2.5, Y110 = 2.5) = FALSE, 0
)</f>
        <v>9786.1557692307688</v>
      </c>
      <c r="BQ110" s="77">
        <f t="shared" ref="BQ110:BQ111" si="1135">8*Y110</f>
        <v>48</v>
      </c>
      <c r="BR110" s="77" t="e" vm="1">
        <f>'[1]4 - Flächen'!AI110</f>
        <v>#VALUE!</v>
      </c>
      <c r="BS110" s="26"/>
      <c r="BT110" s="77">
        <f t="shared" si="1089"/>
        <v>5171.0400000000009</v>
      </c>
      <c r="BU110" s="77">
        <f t="shared" si="1090"/>
        <v>52726.14</v>
      </c>
      <c r="BV110" s="77">
        <f t="shared" si="1091"/>
        <v>6747.9230769230771</v>
      </c>
      <c r="BW110" s="77">
        <f t="shared" si="1092"/>
        <v>3314.7692307692309</v>
      </c>
      <c r="BX110" s="77"/>
      <c r="BY110" s="77">
        <f t="shared" si="1132"/>
        <v>8</v>
      </c>
      <c r="BZ110" s="3"/>
      <c r="CA110" s="130">
        <f t="shared" si="1093"/>
        <v>3716.0930769230772</v>
      </c>
      <c r="CB110" s="89">
        <v>15</v>
      </c>
      <c r="CC110" s="86">
        <f t="shared" si="1094"/>
        <v>138525</v>
      </c>
      <c r="CD110" s="87">
        <f t="shared" si="1095"/>
        <v>72.901712328767132</v>
      </c>
      <c r="CE110" s="88">
        <f t="shared" si="1096"/>
        <v>0.19676937653135768</v>
      </c>
      <c r="CF110" s="86" t="e">
        <f t="shared" si="1097"/>
        <v>#DIV/0!</v>
      </c>
      <c r="CG110" s="135">
        <f>0.4339457814*AC110</f>
        <v>4781.4958497119915</v>
      </c>
      <c r="CH110" s="89">
        <v>30</v>
      </c>
      <c r="CI110" s="86">
        <f t="shared" si="1098"/>
        <v>277035</v>
      </c>
      <c r="CJ110" s="87">
        <f t="shared" si="1099"/>
        <v>145.80171232876714</v>
      </c>
      <c r="CK110" s="88">
        <f t="shared" si="1100"/>
        <v>0.22109488377175385</v>
      </c>
      <c r="CL110" s="86" t="e">
        <f t="shared" si="1101"/>
        <v>#DIV/0!</v>
      </c>
      <c r="CM110" s="125">
        <f>0.4875920928*AC110</f>
        <v>5372.6056756536182</v>
      </c>
      <c r="CN110" s="89">
        <v>70</v>
      </c>
      <c r="CO110" s="86">
        <f t="shared" si="1102"/>
        <v>646395</v>
      </c>
      <c r="CP110" s="87">
        <f t="shared" si="1103"/>
        <v>340.20171232876709</v>
      </c>
      <c r="CQ110" s="88">
        <f t="shared" si="1104"/>
        <v>0.25831848649073652</v>
      </c>
      <c r="CR110" s="86" t="e">
        <f t="shared" si="1105"/>
        <v>#DIV/0!</v>
      </c>
      <c r="CS110" s="86">
        <f>0.5696832477*AC110</f>
        <v>6277.1392217248977</v>
      </c>
      <c r="CT110" s="90">
        <v>3.05</v>
      </c>
      <c r="CU110" s="3"/>
      <c r="CV110" s="86">
        <f t="shared" si="1106"/>
        <v>115942.10400000001</v>
      </c>
      <c r="CW110" s="86">
        <v>15</v>
      </c>
      <c r="CX110" s="86">
        <f t="shared" si="1107"/>
        <v>138525</v>
      </c>
      <c r="CY110" s="87">
        <f t="shared" si="1108"/>
        <v>72.901712328767132</v>
      </c>
      <c r="CZ110" s="88">
        <f t="shared" si="1109"/>
        <v>1.2922740875590364</v>
      </c>
      <c r="DA110" s="86" t="e">
        <f t="shared" si="1110"/>
        <v>#DIV/0!</v>
      </c>
      <c r="DB110" s="72">
        <f>2.8499195281*AC110</f>
        <v>31402.260327684588</v>
      </c>
      <c r="DC110" s="89">
        <v>30</v>
      </c>
      <c r="DD110" s="86">
        <f t="shared" si="1111"/>
        <v>277035</v>
      </c>
      <c r="DE110" s="87">
        <f t="shared" si="1112"/>
        <v>145.80171232876714</v>
      </c>
      <c r="DF110" s="88">
        <f t="shared" si="1113"/>
        <v>1.3284248803756673</v>
      </c>
      <c r="DG110" s="86" t="e">
        <f t="shared" si="1114"/>
        <v>#DIV/0!</v>
      </c>
      <c r="DH110" s="86">
        <f>2.9296447593*AC110</f>
        <v>32280.724593128714</v>
      </c>
      <c r="DI110" s="89">
        <v>70</v>
      </c>
      <c r="DJ110" s="86">
        <f t="shared" si="1115"/>
        <v>646395</v>
      </c>
      <c r="DK110" s="87">
        <f t="shared" si="1116"/>
        <v>340.20171232876709</v>
      </c>
      <c r="DL110" s="88">
        <f t="shared" si="1117"/>
        <v>1.3972146246671806</v>
      </c>
      <c r="DM110" s="86" t="e">
        <f t="shared" si="1118"/>
        <v>#DIV/0!</v>
      </c>
      <c r="DN110" s="86">
        <f>3.0813503746*AC110</f>
        <v>33952.315379412488</v>
      </c>
      <c r="DO110" s="90">
        <v>3.9</v>
      </c>
      <c r="DP110" s="7"/>
      <c r="DQ110" s="86">
        <f t="shared" si="1119"/>
        <v>115942.10400000001</v>
      </c>
      <c r="DR110" s="86">
        <v>15</v>
      </c>
      <c r="DS110" s="86">
        <f t="shared" si="1120"/>
        <v>138525</v>
      </c>
      <c r="DT110" s="87">
        <f t="shared" si="1121"/>
        <v>72.901712328767132</v>
      </c>
      <c r="DU110" s="88">
        <f t="shared" si="1122"/>
        <v>0.12964142746042126</v>
      </c>
      <c r="DV110" s="86">
        <f t="shared" si="1123"/>
        <v>81.001902587519041</v>
      </c>
      <c r="DW110" s="86">
        <f>0.5405169341*AC110</f>
        <v>5955.7658764653224</v>
      </c>
      <c r="DX110" s="89">
        <v>30</v>
      </c>
      <c r="DY110" s="86">
        <f t="shared" si="1124"/>
        <v>277035</v>
      </c>
      <c r="DZ110" s="87">
        <f t="shared" si="1125"/>
        <v>145.80171232876714</v>
      </c>
      <c r="EA110" s="88">
        <f t="shared" si="1126"/>
        <v>0.13989898741636411</v>
      </c>
      <c r="EB110" s="86">
        <f t="shared" si="1127"/>
        <v>162.00190258751903</v>
      </c>
      <c r="EC110" s="86">
        <f>0.5832840107*AC110</f>
        <v>6427.0012427995343</v>
      </c>
      <c r="ED110" s="89">
        <v>70</v>
      </c>
      <c r="EE110" s="86">
        <f t="shared" si="1128"/>
        <v>646395</v>
      </c>
      <c r="EF110" s="87">
        <f t="shared" si="1129"/>
        <v>340.20171232876709</v>
      </c>
      <c r="EG110" s="88">
        <f t="shared" si="1130"/>
        <v>0.15063389421935799</v>
      </c>
      <c r="EH110" s="86">
        <f t="shared" si="1131"/>
        <v>378.001902587519</v>
      </c>
      <c r="EI110" s="86">
        <f>0.6280413003*AC110</f>
        <v>6920.1660657788643</v>
      </c>
      <c r="EJ110" s="90">
        <v>3.9</v>
      </c>
    </row>
    <row r="111" spans="1:140">
      <c r="A111" s="70" t="str">
        <f t="shared" si="0"/>
        <v>BhWe</v>
      </c>
      <c r="B111" s="71">
        <v>54</v>
      </c>
      <c r="C111" s="70" t="s">
        <v>91</v>
      </c>
      <c r="D111" s="70" t="s">
        <v>82</v>
      </c>
      <c r="E111" s="70" t="s">
        <v>80</v>
      </c>
      <c r="F111" s="3"/>
      <c r="G111" s="72">
        <v>10000</v>
      </c>
      <c r="H111" s="72">
        <v>8493</v>
      </c>
      <c r="I111" s="72">
        <v>764</v>
      </c>
      <c r="J111" s="72">
        <v>423</v>
      </c>
      <c r="K111" s="72">
        <v>320</v>
      </c>
      <c r="L111" s="72">
        <f>1039.5*2</f>
        <v>2079</v>
      </c>
      <c r="M111" s="184"/>
      <c r="N111" s="91">
        <f t="shared" si="1055"/>
        <v>0.2079</v>
      </c>
      <c r="O111" s="124">
        <f t="shared" si="1056"/>
        <v>3838.1538461538466</v>
      </c>
      <c r="P111" s="124">
        <f t="shared" si="1057"/>
        <v>3070.5230769230775</v>
      </c>
      <c r="Q111" s="124">
        <f t="shared" si="1058"/>
        <v>1535.2615384615387</v>
      </c>
      <c r="R111" s="124">
        <f t="shared" si="1059"/>
        <v>1228.209230769231</v>
      </c>
      <c r="S111" s="72">
        <f t="shared" si="4"/>
        <v>4605.7846153846167</v>
      </c>
      <c r="T111" s="3"/>
      <c r="U111" s="77">
        <f t="shared" si="1134"/>
        <v>2079</v>
      </c>
      <c r="V111" s="78">
        <f t="shared" si="1061"/>
        <v>0.2079</v>
      </c>
      <c r="W111" s="111">
        <f t="shared" si="1062"/>
        <v>1.2474000000000001</v>
      </c>
      <c r="X111" s="3"/>
      <c r="Y111" s="79">
        <v>6</v>
      </c>
      <c r="Z111" s="77">
        <f t="shared" si="1063"/>
        <v>12474</v>
      </c>
      <c r="AA111" s="77">
        <f t="shared" si="1064"/>
        <v>9979.2000000000007</v>
      </c>
      <c r="AB111" s="77">
        <f t="shared" si="1065"/>
        <v>14009.261538461538</v>
      </c>
      <c r="AC111" s="77">
        <f t="shared" si="1066"/>
        <v>11907.872307692307</v>
      </c>
      <c r="AD111" s="77">
        <f t="shared" si="1067"/>
        <v>9979.2000000000007</v>
      </c>
      <c r="AE111" s="77">
        <f t="shared" si="1068"/>
        <v>319.84615384615387</v>
      </c>
      <c r="AF111" s="77">
        <f t="shared" si="1069"/>
        <v>9659.3538461538465</v>
      </c>
      <c r="AG111" s="3"/>
      <c r="AH111" s="77">
        <f t="shared" si="1070"/>
        <v>2079</v>
      </c>
      <c r="AI111" s="77">
        <f t="shared" si="1071"/>
        <v>2079</v>
      </c>
      <c r="AJ111" s="77">
        <f>6660</f>
        <v>6660</v>
      </c>
      <c r="AK111" s="77">
        <f t="shared" si="1072"/>
        <v>10818</v>
      </c>
      <c r="AL111" s="77">
        <f>18711*2</f>
        <v>37422</v>
      </c>
      <c r="AM111" s="80">
        <f t="shared" si="1073"/>
        <v>0.28908128908128911</v>
      </c>
      <c r="AN111" s="32"/>
      <c r="AO111" s="72">
        <v>90</v>
      </c>
      <c r="AP111" s="81">
        <f>10.5*2</f>
        <v>21</v>
      </c>
      <c r="AQ111" s="82">
        <f t="shared" si="1074"/>
        <v>111</v>
      </c>
      <c r="AR111" s="3"/>
      <c r="AS111" s="82">
        <v>2</v>
      </c>
      <c r="AT111" s="3"/>
      <c r="AU111" s="77">
        <v>41</v>
      </c>
      <c r="AV111" s="77">
        <v>78</v>
      </c>
      <c r="AW111" s="77">
        <v>121</v>
      </c>
      <c r="AX111" s="83">
        <f t="shared" si="1075"/>
        <v>243.39512195121952</v>
      </c>
      <c r="AY111" s="83">
        <f t="shared" si="1076"/>
        <v>127.93846153846155</v>
      </c>
      <c r="AZ111" s="83">
        <f t="shared" si="1077"/>
        <v>8.5416666666666661</v>
      </c>
      <c r="BA111" s="83">
        <f t="shared" si="1078"/>
        <v>16.249999999999996</v>
      </c>
      <c r="BB111" s="3"/>
      <c r="BC111" s="77" t="s">
        <v>89</v>
      </c>
      <c r="BD111" s="77">
        <f t="shared" si="1079"/>
        <v>2079</v>
      </c>
      <c r="BE111" s="77">
        <f t="shared" si="1080"/>
        <v>10583.663076923076</v>
      </c>
      <c r="BF111" s="77" t="e" vm="1">
        <f>'[1]4 - Flächen'!AJ111</f>
        <v>#VALUE!</v>
      </c>
      <c r="BG111" s="77" t="e" vm="2">
        <f t="shared" si="1081"/>
        <v>#VALUE!</v>
      </c>
      <c r="BH111" s="77">
        <f t="shared" si="1082"/>
        <v>1535.2615384615387</v>
      </c>
      <c r="BI111" s="77" t="e" vm="2">
        <f t="shared" si="1083"/>
        <v>#VALUE!</v>
      </c>
      <c r="BJ111" s="77">
        <f t="shared" si="1084"/>
        <v>131.93846153846155</v>
      </c>
      <c r="BK111" s="85">
        <v>0.18</v>
      </c>
      <c r="BL111" s="77">
        <f t="shared" si="1085"/>
        <v>1796.2560000000001</v>
      </c>
      <c r="BM111" s="77">
        <f t="shared" si="1086"/>
        <v>2942.5846153846155</v>
      </c>
      <c r="BN111" s="77">
        <f t="shared" si="1087"/>
        <v>11130.646153846155</v>
      </c>
      <c r="BO111" s="77">
        <f t="shared" si="1088"/>
        <v>639.69230769230774</v>
      </c>
      <c r="BP111" s="77" cm="1">
        <f t="array" ref="BP111">BE111 - _xlfn.IFS(
    _xlfn.XOR(Y111 &lt; 2.5, Y111 = 2.5), 0.5 * AH111,
    _xlfn.XOR(Y111 &lt; 2.5, Y111 = 2.5) = FALSE, 0
)</f>
        <v>10583.663076923076</v>
      </c>
      <c r="BQ111" s="77">
        <f t="shared" si="1135"/>
        <v>48</v>
      </c>
      <c r="BR111" s="77" t="e" vm="1">
        <f>'[1]4 - Flächen'!AI111</f>
        <v>#VALUE!</v>
      </c>
      <c r="BS111" s="26"/>
      <c r="BT111" s="77">
        <f t="shared" si="1089"/>
        <v>5588.3520000000008</v>
      </c>
      <c r="BU111" s="77">
        <f t="shared" si="1090"/>
        <v>56981.232000000004</v>
      </c>
      <c r="BV111" s="77">
        <f t="shared" si="1091"/>
        <v>7292.4923076923087</v>
      </c>
      <c r="BW111" s="77">
        <f t="shared" si="1092"/>
        <v>3582.2769230769236</v>
      </c>
      <c r="BX111" s="77"/>
      <c r="BY111" s="77">
        <f t="shared" si="1132"/>
        <v>8</v>
      </c>
      <c r="BZ111" s="3"/>
      <c r="CA111" s="130">
        <f t="shared" si="1093"/>
        <v>4015.9883076923079</v>
      </c>
      <c r="CB111" s="89">
        <v>15</v>
      </c>
      <c r="CC111" s="86">
        <f t="shared" si="1094"/>
        <v>149703</v>
      </c>
      <c r="CD111" s="87">
        <f t="shared" si="1095"/>
        <v>78.784870223503972</v>
      </c>
      <c r="CE111" s="88">
        <f t="shared" si="1096"/>
        <v>0.19460250293346343</v>
      </c>
      <c r="CF111" s="86" t="e">
        <f t="shared" si="1097"/>
        <v>#DIV/0!</v>
      </c>
      <c r="CG111" s="135">
        <f>0.4291670619*AC111</f>
        <v>5110.4665717726803</v>
      </c>
      <c r="CH111" s="89">
        <v>30</v>
      </c>
      <c r="CI111" s="86">
        <f t="shared" si="1098"/>
        <v>299391</v>
      </c>
      <c r="CJ111" s="87">
        <f t="shared" si="1099"/>
        <v>157.56802811824082</v>
      </c>
      <c r="CK111" s="88">
        <f t="shared" si="1100"/>
        <v>0.21797374587053076</v>
      </c>
      <c r="CL111" s="86" t="e">
        <f t="shared" si="1101"/>
        <v>#DIV/0!</v>
      </c>
      <c r="CM111" s="125">
        <f>0.4807088844*AC111</f>
        <v>5724.2200126084226</v>
      </c>
      <c r="CN111" s="89">
        <v>70</v>
      </c>
      <c r="CO111" s="86">
        <f t="shared" si="1102"/>
        <v>698559</v>
      </c>
      <c r="CP111" s="87">
        <f t="shared" si="1103"/>
        <v>367.65644917087235</v>
      </c>
      <c r="CQ111" s="88">
        <f t="shared" si="1104"/>
        <v>0.25369511594401534</v>
      </c>
      <c r="CR111" s="86" t="e">
        <f t="shared" si="1105"/>
        <v>#DIV/0!</v>
      </c>
      <c r="CS111" s="86">
        <f>0.5594870872*AC111</f>
        <v>6662.3007921803101</v>
      </c>
      <c r="CT111" s="90">
        <v>3.05</v>
      </c>
      <c r="CU111" s="3"/>
      <c r="CV111" s="86">
        <f t="shared" si="1106"/>
        <v>125298.8352</v>
      </c>
      <c r="CW111" s="86">
        <v>15</v>
      </c>
      <c r="CX111" s="86">
        <f t="shared" si="1107"/>
        <v>149703</v>
      </c>
      <c r="CY111" s="87">
        <f t="shared" si="1108"/>
        <v>78.784870223503972</v>
      </c>
      <c r="CZ111" s="88">
        <f t="shared" si="1109"/>
        <v>1.2886960288128018</v>
      </c>
      <c r="DA111" s="86" t="e">
        <f t="shared" si="1110"/>
        <v>#DIV/0!</v>
      </c>
      <c r="DB111" s="72">
        <f>2.8420286483*AC111</f>
        <v>33842.514238759766</v>
      </c>
      <c r="DC111" s="89">
        <v>30</v>
      </c>
      <c r="DD111" s="86">
        <f t="shared" si="1111"/>
        <v>299391</v>
      </c>
      <c r="DE111" s="87">
        <f t="shared" si="1112"/>
        <v>157.56802811824082</v>
      </c>
      <c r="DF111" s="88">
        <f t="shared" si="1113"/>
        <v>1.3234460778517672</v>
      </c>
      <c r="DG111" s="86" t="e">
        <f t="shared" si="1114"/>
        <v>#DIV/0!</v>
      </c>
      <c r="DH111" s="86">
        <f>2.9186647461*AC111</f>
        <v>34755.08710552199</v>
      </c>
      <c r="DI111" s="89">
        <v>70</v>
      </c>
      <c r="DJ111" s="86">
        <f t="shared" si="1115"/>
        <v>698559</v>
      </c>
      <c r="DK111" s="87">
        <f t="shared" si="1116"/>
        <v>367.65644917087235</v>
      </c>
      <c r="DL111" s="88">
        <f t="shared" si="1117"/>
        <v>1.3894596749845942</v>
      </c>
      <c r="DM111" s="86" t="e">
        <f t="shared" si="1118"/>
        <v>#DIV/0!</v>
      </c>
      <c r="DN111" s="86">
        <f>3.0642479791*AC111</f>
        <v>36488.673654227008</v>
      </c>
      <c r="DO111" s="90">
        <v>3.9</v>
      </c>
      <c r="DP111" s="7"/>
      <c r="DQ111" s="86">
        <f t="shared" si="1119"/>
        <v>125298.8352</v>
      </c>
      <c r="DR111" s="86">
        <v>15</v>
      </c>
      <c r="DS111" s="86">
        <f t="shared" si="1120"/>
        <v>149703</v>
      </c>
      <c r="DT111" s="87">
        <f t="shared" si="1121"/>
        <v>78.784870223503972</v>
      </c>
      <c r="DU111" s="88">
        <f t="shared" si="1122"/>
        <v>0.12749007059767814</v>
      </c>
      <c r="DV111" s="86">
        <f t="shared" si="1123"/>
        <v>87.538744692782188</v>
      </c>
      <c r="DW111" s="86">
        <f>0.5315472333*AC111</f>
        <v>6329.5965796435321</v>
      </c>
      <c r="DX111" s="89">
        <v>30</v>
      </c>
      <c r="DY111" s="86">
        <f t="shared" si="1124"/>
        <v>299391</v>
      </c>
      <c r="DZ111" s="87">
        <f t="shared" si="1125"/>
        <v>157.56802811824082</v>
      </c>
      <c r="EA111" s="88">
        <f t="shared" si="1126"/>
        <v>0.13734326472262529</v>
      </c>
      <c r="EB111" s="86">
        <f t="shared" si="1127"/>
        <v>175.07558679804535</v>
      </c>
      <c r="EC111" s="86">
        <f>0.5726283783*AC111</f>
        <v>6818.7856085573248</v>
      </c>
      <c r="ED111" s="89">
        <v>70</v>
      </c>
      <c r="EE111" s="86">
        <f t="shared" si="1128"/>
        <v>698559</v>
      </c>
      <c r="EF111" s="87">
        <f t="shared" si="1129"/>
        <v>367.65644917087235</v>
      </c>
      <c r="EG111" s="88">
        <f t="shared" si="1130"/>
        <v>0.14766422262711287</v>
      </c>
      <c r="EH111" s="86">
        <f t="shared" si="1131"/>
        <v>408.50716574541372</v>
      </c>
      <c r="EI111" s="86">
        <f>0.6156597814*AC111</f>
        <v>7331.1980618929592</v>
      </c>
      <c r="EJ111" s="90">
        <v>3.9</v>
      </c>
    </row>
    <row r="112" spans="1:140">
      <c r="A112" s="20" t="str">
        <f t="shared" si="0"/>
        <v/>
      </c>
      <c r="B112" s="92"/>
      <c r="C112" s="20"/>
      <c r="D112" s="20"/>
      <c r="E112" s="20"/>
      <c r="F112" s="3"/>
      <c r="G112" s="93"/>
      <c r="H112" s="93"/>
      <c r="I112" s="93"/>
      <c r="J112" s="93"/>
      <c r="K112" s="93"/>
      <c r="L112" s="93"/>
      <c r="M112" s="94"/>
      <c r="N112" s="95"/>
      <c r="O112" s="93"/>
      <c r="P112" s="94"/>
      <c r="Q112" s="94"/>
      <c r="R112" s="94"/>
      <c r="S112" s="21">
        <f t="shared" si="4"/>
        <v>0</v>
      </c>
      <c r="T112" s="3"/>
      <c r="U112" s="34"/>
      <c r="V112" s="96"/>
      <c r="W112" s="96"/>
      <c r="X112" s="3"/>
      <c r="Y112" s="28"/>
      <c r="Z112" s="34"/>
      <c r="AA112" s="34"/>
      <c r="AB112" s="34"/>
      <c r="AC112" s="26">
        <f>Z112*(1-0.15)</f>
        <v>0</v>
      </c>
      <c r="AD112" s="34"/>
      <c r="AE112" s="34"/>
      <c r="AF112" s="34"/>
      <c r="AG112" s="3"/>
      <c r="AH112" s="34">
        <f t="shared" si="1070"/>
        <v>0</v>
      </c>
      <c r="AI112" s="93"/>
      <c r="AJ112" s="34"/>
      <c r="AK112" s="34"/>
      <c r="AL112" s="34"/>
      <c r="AM112" s="117"/>
      <c r="AN112" s="28"/>
      <c r="AO112" s="93"/>
      <c r="AP112" s="98"/>
      <c r="AQ112" s="99"/>
      <c r="AR112" s="3"/>
      <c r="AS112" s="34"/>
      <c r="AT112" s="3"/>
      <c r="AU112" s="99"/>
      <c r="AV112" s="34"/>
      <c r="AW112" s="34"/>
      <c r="AX112" s="99"/>
      <c r="AY112" s="99"/>
      <c r="AZ112" s="99"/>
      <c r="BA112" s="3"/>
      <c r="BB112" s="3"/>
      <c r="BC112" s="11"/>
      <c r="BD112" s="11"/>
      <c r="BE112" s="11"/>
      <c r="BF112" s="11"/>
      <c r="BG112" s="11"/>
      <c r="BH112" s="11"/>
      <c r="BI112" s="11"/>
      <c r="BJ112" s="100">
        <f>AS112+AY112</f>
        <v>0</v>
      </c>
      <c r="BK112" s="10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3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102"/>
      <c r="CO112" s="3"/>
      <c r="CP112" s="3"/>
      <c r="CQ112" s="3"/>
      <c r="CR112" s="103"/>
      <c r="CS112" s="103"/>
      <c r="CT112" s="103"/>
      <c r="CU112" s="3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102"/>
      <c r="DH112" s="102"/>
      <c r="DI112" s="102"/>
      <c r="DJ112" s="102"/>
      <c r="DK112" s="7"/>
      <c r="DL112" s="7"/>
      <c r="DM112" s="103"/>
      <c r="DN112" s="102"/>
      <c r="DO112" s="104"/>
      <c r="DP112" s="7"/>
      <c r="DQ112" s="7"/>
      <c r="DR112" s="7"/>
      <c r="DS112" s="7"/>
      <c r="DT112" s="7"/>
      <c r="DU112" s="7"/>
      <c r="DV112" s="7"/>
      <c r="DW112" s="102"/>
      <c r="DX112" s="7"/>
      <c r="DY112" s="7"/>
      <c r="DZ112" s="7"/>
      <c r="EA112" s="7"/>
      <c r="EB112" s="7"/>
      <c r="EC112" s="102"/>
      <c r="ED112" s="102"/>
      <c r="EE112" s="3"/>
      <c r="EF112" s="3"/>
      <c r="EG112" s="3"/>
      <c r="EH112" s="3"/>
      <c r="EI112" s="102"/>
      <c r="EJ112" s="7"/>
    </row>
    <row r="113" spans="1:140">
      <c r="A113" s="18" t="str">
        <f t="shared" si="0"/>
        <v>BgGi</v>
      </c>
      <c r="B113" s="19">
        <v>600</v>
      </c>
      <c r="C113" s="18" t="s">
        <v>91</v>
      </c>
      <c r="D113" s="18" t="s">
        <v>76</v>
      </c>
      <c r="E113" s="18" t="s">
        <v>83</v>
      </c>
      <c r="F113" s="3"/>
      <c r="G113" s="21">
        <v>60000</v>
      </c>
      <c r="H113" s="21">
        <f t="shared" ref="H113:L113" si="1136">H103*6</f>
        <v>43350</v>
      </c>
      <c r="I113" s="21">
        <f t="shared" si="1136"/>
        <v>6984</v>
      </c>
      <c r="J113" s="21">
        <f t="shared" si="1136"/>
        <v>5586</v>
      </c>
      <c r="K113" s="21">
        <f t="shared" si="1136"/>
        <v>4080</v>
      </c>
      <c r="L113" s="21">
        <f t="shared" si="1136"/>
        <v>21222</v>
      </c>
      <c r="M113" s="118"/>
      <c r="N113" s="23">
        <f t="shared" ref="N113:N121" si="1137">(L113+M113)/G113</f>
        <v>0.35370000000000001</v>
      </c>
      <c r="O113" s="21">
        <f t="shared" ref="O113:O121" si="1138">30*AY113</f>
        <v>26119.384615384621</v>
      </c>
      <c r="P113" s="21">
        <f t="shared" ref="P113:P121" si="1139">O113*0.8</f>
        <v>20895.507692307699</v>
      </c>
      <c r="Q113" s="21">
        <f t="shared" ref="Q113:Q121" si="1140">AY113*12</f>
        <v>10447.753846153848</v>
      </c>
      <c r="R113" s="21">
        <f t="shared" ref="R113:R121" si="1141">Q113*0.8</f>
        <v>8358.2030769230787</v>
      </c>
      <c r="S113" s="21">
        <f t="shared" si="4"/>
        <v>31343.261538461542</v>
      </c>
      <c r="T113" s="3"/>
      <c r="U113" s="26">
        <f t="shared" ref="U113:U121" si="1142">L113</f>
        <v>21222</v>
      </c>
      <c r="V113" s="27">
        <f t="shared" ref="V113:V121" si="1143">U113/G113</f>
        <v>0.35370000000000001</v>
      </c>
      <c r="W113" s="108">
        <f t="shared" ref="W113:W121" si="1144">Z113/G113</f>
        <v>1.4148000000000001</v>
      </c>
      <c r="X113" s="3"/>
      <c r="Y113" s="29">
        <v>4</v>
      </c>
      <c r="Z113" s="26">
        <f t="shared" ref="Z113:Z121" si="1145">(L113*Y113)+M113</f>
        <v>84888</v>
      </c>
      <c r="AA113" s="26">
        <f t="shared" ref="AA113:AA121" si="1146">Z113*0.8</f>
        <v>67910.400000000009</v>
      </c>
      <c r="AB113" s="26">
        <f t="shared" ref="AB113:AB121" si="1147">(L113*Y113)+BH113</f>
        <v>95335.75384615385</v>
      </c>
      <c r="AC113" s="21">
        <f>AC103*6</f>
        <v>81035.390769230769</v>
      </c>
      <c r="AD113" s="26">
        <f t="shared" ref="AD113:AD121" si="1148">((L113*Y113)*0.8)</f>
        <v>67910.400000000009</v>
      </c>
      <c r="AE113" s="26">
        <f t="shared" ref="AE113:AE121" si="1149">2.5*AY113</f>
        <v>2176.6153846153848</v>
      </c>
      <c r="AF113" s="26">
        <f t="shared" ref="AF113:AF121" si="1150">AD113-AE113</f>
        <v>65733.784615384619</v>
      </c>
      <c r="AG113" s="3"/>
      <c r="AH113" s="26">
        <f t="shared" si="1070"/>
        <v>21222</v>
      </c>
      <c r="AI113" s="26">
        <f t="shared" ref="AI113:AL113" si="1151">AI103*6</f>
        <v>21222</v>
      </c>
      <c r="AJ113" s="26">
        <f t="shared" si="1151"/>
        <v>37728</v>
      </c>
      <c r="AK113" s="26">
        <f t="shared" si="1151"/>
        <v>80172</v>
      </c>
      <c r="AL113" s="26">
        <f t="shared" si="1151"/>
        <v>254664</v>
      </c>
      <c r="AM113" s="31">
        <f t="shared" ref="AM113:AM121" si="1152">AK113/AL113</f>
        <v>0.31481481481481483</v>
      </c>
      <c r="AN113" s="28"/>
      <c r="AO113" s="21">
        <f t="shared" ref="AO113:AP113" si="1153">AO103*6</f>
        <v>1200</v>
      </c>
      <c r="AP113" s="114">
        <f t="shared" si="1153"/>
        <v>63</v>
      </c>
      <c r="AQ113" s="26">
        <f t="shared" ref="AQ113:AQ121" si="1154">AO113+AP113</f>
        <v>1263</v>
      </c>
      <c r="AR113" s="3"/>
      <c r="AS113" s="21">
        <f>AS103*6</f>
        <v>6</v>
      </c>
      <c r="AT113" s="3"/>
      <c r="AU113" s="26">
        <v>41</v>
      </c>
      <c r="AV113" s="26">
        <v>78</v>
      </c>
      <c r="AW113" s="26">
        <v>121</v>
      </c>
      <c r="AX113" s="35">
        <f>AX103*6</f>
        <v>1656.3512195121955</v>
      </c>
      <c r="AY113" s="35">
        <f t="shared" ref="AY113:AY121" si="1155">AD113/AV113</f>
        <v>870.64615384615399</v>
      </c>
      <c r="AZ113" s="35">
        <f t="shared" ref="AZ113:AZ121" si="1156">L113/AX113</f>
        <v>12.812499999999996</v>
      </c>
      <c r="BA113" s="35">
        <f t="shared" ref="BA113:BA121" si="1157">L113/AY113</f>
        <v>24.374999999999996</v>
      </c>
      <c r="BB113" s="3"/>
      <c r="BC113" s="37" t="s">
        <v>89</v>
      </c>
      <c r="BD113" s="26">
        <f t="shared" ref="BD113:BD121" si="1158">AH113</f>
        <v>21222</v>
      </c>
      <c r="BE113" s="21">
        <f t="shared" ref="BE113:BF113" si="1159">BE103*6</f>
        <v>72293.187692307692</v>
      </c>
      <c r="BF113" s="21" t="e" vm="2">
        <f t="shared" si="1159"/>
        <v>#VALUE!</v>
      </c>
      <c r="BG113" s="26" t="e" vm="2">
        <f t="shared" ref="BG113:BG121" si="1160">BF113-BL113-((2.2*1.1)*BJ113)</f>
        <v>#VALUE!</v>
      </c>
      <c r="BH113" s="26">
        <f t="shared" ref="BH113:BH121" si="1161">Q113</f>
        <v>10447.753846153848</v>
      </c>
      <c r="BI113" s="21" t="e" vm="2">
        <f t="shared" ref="BI113:BJ113" si="1162">BI103*6</f>
        <v>#VALUE!</v>
      </c>
      <c r="BJ113" s="21">
        <f t="shared" si="1162"/>
        <v>882.64615384615399</v>
      </c>
      <c r="BK113" s="39">
        <v>0.18</v>
      </c>
      <c r="BL113" s="21">
        <f t="shared" ref="BL113:BR113" si="1163">BL103*6</f>
        <v>12223.872000000001</v>
      </c>
      <c r="BM113" s="21">
        <f t="shared" si="1163"/>
        <v>20024.86153846154</v>
      </c>
      <c r="BN113" s="21">
        <f t="shared" si="1163"/>
        <v>75746.215384615396</v>
      </c>
      <c r="BO113" s="21">
        <f t="shared" si="1163"/>
        <v>4353.2307692307695</v>
      </c>
      <c r="BP113" s="21">
        <f t="shared" si="1163"/>
        <v>72293.187692307692</v>
      </c>
      <c r="BQ113" s="21">
        <f t="shared" si="1163"/>
        <v>192</v>
      </c>
      <c r="BR113" s="21" t="e" vm="2">
        <f t="shared" si="1163"/>
        <v>#VALUE!</v>
      </c>
      <c r="BS113" s="26"/>
      <c r="BT113" s="21">
        <f t="shared" ref="BT113:BW113" si="1164">BT103*6</f>
        <v>38029.824000000008</v>
      </c>
      <c r="BU113" s="21">
        <f t="shared" si="1164"/>
        <v>387768.38400000002</v>
      </c>
      <c r="BV113" s="21">
        <f t="shared" si="1164"/>
        <v>49626.830769230779</v>
      </c>
      <c r="BW113" s="21">
        <f t="shared" si="1164"/>
        <v>24378.092307692314</v>
      </c>
      <c r="BX113" s="21"/>
      <c r="BY113" s="21">
        <f>BY103*6</f>
        <v>24</v>
      </c>
      <c r="BZ113" s="3"/>
      <c r="CA113" s="40">
        <f t="shared" ref="CA113:CA121" si="1165">(34.4*365*$AD113)/1000</f>
        <v>852682.9824000001</v>
      </c>
      <c r="CB113" s="43">
        <v>15</v>
      </c>
      <c r="CC113" s="40">
        <f t="shared" ref="CC113:CC121" si="1166">$AD113*CB113+($CB113)</f>
        <v>1018671.0000000001</v>
      </c>
      <c r="CD113" s="41">
        <f t="shared" ref="CD113:CD121" si="1167">((CC113-$CB113)/1900)+($CB113/8760)</f>
        <v>536.13644917087242</v>
      </c>
      <c r="CE113" s="42">
        <f t="shared" ref="CE113:CE121" si="1168">((380*$CG113)/1000)/$AD113</f>
        <v>0.19800346062689417</v>
      </c>
      <c r="CF113" s="40" t="e">
        <f t="shared" ref="CF113:CF121" si="1169">$CD113/$CU113</f>
        <v>#DIV/0!</v>
      </c>
      <c r="CG113" s="21">
        <f>CG103*6</f>
        <v>35385.51108567536</v>
      </c>
      <c r="CH113" s="43">
        <v>30</v>
      </c>
      <c r="CI113" s="40">
        <f t="shared" ref="CI113:CI121" si="1170">$AD113*CH113+($CB113)</f>
        <v>2037327.0000000002</v>
      </c>
      <c r="CJ113" s="41">
        <f t="shared" ref="CJ113:CJ121" si="1171">((CI113-$CB113)/1900)+($CB113/8760)</f>
        <v>1072.2711860129778</v>
      </c>
      <c r="CK113" s="42">
        <f t="shared" ref="CK113:CK121" si="1172">((380*$CM113)/1000)/$AD113</f>
        <v>0.22009435588337689</v>
      </c>
      <c r="CL113" s="40" t="e">
        <f t="shared" ref="CL113:CL121" si="1173">$CJ113/$CU113</f>
        <v>#DIV/0!</v>
      </c>
      <c r="CM113" s="21">
        <f>CM103*6</f>
        <v>39333.409857322316</v>
      </c>
      <c r="CN113" s="43">
        <v>70</v>
      </c>
      <c r="CO113" s="40">
        <f t="shared" ref="CO113:CO121" si="1174">$AD113*CN113+($CB113)</f>
        <v>4753743.0000000009</v>
      </c>
      <c r="CP113" s="41">
        <f t="shared" ref="CP113:CP121" si="1175">((CO113-$CB113)/1900)+($CB113/8760)</f>
        <v>2501.9638175919254</v>
      </c>
      <c r="CQ113" s="42">
        <f t="shared" ref="CQ113:CQ121" si="1176">((380*$CS113)/1000)/$AD113</f>
        <v>0.27892630341168273</v>
      </c>
      <c r="CR113" s="40" t="e">
        <f t="shared" ref="CR113:CR121" si="1177">$CP113/$CU113</f>
        <v>#DIV/0!</v>
      </c>
      <c r="CS113" s="21">
        <f>CS103*6</f>
        <v>49847.360092654577</v>
      </c>
      <c r="CT113" s="44">
        <v>3.05</v>
      </c>
      <c r="CU113" s="3"/>
      <c r="CV113" s="40">
        <f t="shared" ref="CV113:CV121" si="1178">(34.4*365*$AD113)/1000</f>
        <v>852682.9824000001</v>
      </c>
      <c r="CW113" s="40">
        <v>15</v>
      </c>
      <c r="CX113" s="40">
        <f t="shared" ref="CX113:CX121" si="1179">$AD113*CW113+($CW113)</f>
        <v>1018671.0000000001</v>
      </c>
      <c r="CY113" s="41">
        <f t="shared" ref="CY113:CY121" si="1180">((CX113-$CW113)/1900)+($CW113/8760)</f>
        <v>536.13644917087242</v>
      </c>
      <c r="CZ113" s="42">
        <f t="shared" ref="CZ113:CZ121" si="1181">((380*$DB113)/1000)/$AD113</f>
        <v>1.7261649377085801</v>
      </c>
      <c r="DA113" s="40" t="e">
        <f t="shared" ref="DA113:DA121" si="1182">$CY113/$DP113</f>
        <v>#DIV/0!</v>
      </c>
      <c r="DB113" s="21">
        <f>DB103*6</f>
        <v>308485.66154148628</v>
      </c>
      <c r="DC113" s="43">
        <v>30</v>
      </c>
      <c r="DD113" s="40">
        <f t="shared" ref="DD113:DD121" si="1183">$AD113*DC113+($CW113)</f>
        <v>2037327.0000000002</v>
      </c>
      <c r="DE113" s="41">
        <f t="shared" ref="DE113:DE121" si="1184">((DD113-$CW113)/1900)+($CW113/8760)</f>
        <v>1072.2711860129778</v>
      </c>
      <c r="DF113" s="42">
        <f t="shared" ref="DF113:DF121" si="1185">((380*$DH113)/1000)/$AD113</f>
        <v>1.7600972143375495</v>
      </c>
      <c r="DG113" s="40" t="e">
        <f t="shared" ref="DG113:DG121" si="1186">$DE113/$DP113</f>
        <v>#DIV/0!</v>
      </c>
      <c r="DH113" s="21">
        <f>DH103*6</f>
        <v>314549.75227512827</v>
      </c>
      <c r="DI113" s="43">
        <v>70</v>
      </c>
      <c r="DJ113" s="40">
        <f t="shared" ref="DJ113:DJ121" si="1187">$AD113*DI113+($CW113)</f>
        <v>4753743.0000000009</v>
      </c>
      <c r="DK113" s="41">
        <f t="shared" ref="DK113:DK121" si="1188">((DJ113-$CW113)/1900)+($CW113/8760)</f>
        <v>2501.9638175919254</v>
      </c>
      <c r="DL113" s="42">
        <f t="shared" ref="DL113:DL121" si="1189">((380*$DN113)/1000)/$AD113</f>
        <v>1.8505543144656538</v>
      </c>
      <c r="DM113" s="40" t="e">
        <f t="shared" ref="DM113:DM121" si="1190">$DK113/$DP113</f>
        <v>#DIV/0!</v>
      </c>
      <c r="DN113" s="21">
        <f>DN103*6</f>
        <v>330715.48346602195</v>
      </c>
      <c r="DO113" s="44">
        <v>3.9</v>
      </c>
      <c r="DP113" s="7"/>
      <c r="DQ113" s="40">
        <f t="shared" ref="DQ113:DQ121" si="1191">(34.4*365*$AD113)/1000</f>
        <v>852682.9824000001</v>
      </c>
      <c r="DR113" s="40">
        <v>15</v>
      </c>
      <c r="DS113" s="40">
        <f t="shared" ref="DS113:DS121" si="1192">$AD113*DR113+($DR113)</f>
        <v>1018671.0000000001</v>
      </c>
      <c r="DT113" s="41">
        <f t="shared" ref="DT113:DT121" si="1193">((DS113-$DR113)/1900)+($DR113/8760)</f>
        <v>536.13644917087242</v>
      </c>
      <c r="DU113" s="42">
        <f t="shared" ref="DU113:DU121" si="1194">((201*$DW113)/1000)/$AD113</f>
        <v>0.14188628460689018</v>
      </c>
      <c r="DV113" s="40">
        <f t="shared" ref="DV113:DV121" si="1195">$DT113/0.9</f>
        <v>595.70716574541382</v>
      </c>
      <c r="DW113" s="21">
        <f>DW103*6</f>
        <v>47938.081304317195</v>
      </c>
      <c r="DX113" s="43">
        <v>30</v>
      </c>
      <c r="DY113" s="40">
        <f t="shared" ref="DY113:DY121" si="1196">$AD113*DX113+($DR113)</f>
        <v>2037327.0000000002</v>
      </c>
      <c r="DZ113" s="41">
        <f t="shared" ref="DZ113:DZ121" si="1197">((DY113-$DR113)/1900)+($DR113/8760)</f>
        <v>1072.2711860129778</v>
      </c>
      <c r="EA113" s="42">
        <f t="shared" ref="EA113:EA121" si="1198">((201*$EC113)/1000)/$AD113</f>
        <v>0.1495455534193004</v>
      </c>
      <c r="EB113" s="40">
        <f t="shared" ref="EB113:EB121" si="1199">$DZ113/0.9</f>
        <v>1191.4124289033086</v>
      </c>
      <c r="EC113" s="21">
        <f>EC103*6</f>
        <v>50525.862442418205</v>
      </c>
      <c r="ED113" s="43">
        <v>70</v>
      </c>
      <c r="EE113" s="40">
        <f t="shared" ref="EE113:EE121" si="1200">$AD113*ED113+($DR113)</f>
        <v>4753743.0000000009</v>
      </c>
      <c r="EF113" s="41">
        <f t="shared" ref="EF113:EF121" si="1201">((EE113-$DR113)/1900)+($DR113/8760)</f>
        <v>2501.9638175919254</v>
      </c>
      <c r="EG113" s="42">
        <f t="shared" ref="EG113:EG121" si="1202">((201*$EI113)/1000)/$AD113</f>
        <v>0.17011517160860626</v>
      </c>
      <c r="EH113" s="40">
        <f t="shared" ref="EH113:EH121" si="1203">$EF113/0.9</f>
        <v>2779.9597973243613</v>
      </c>
      <c r="EI113" s="21">
        <f>EI103*6</f>
        <v>57475.568905517881</v>
      </c>
      <c r="EJ113" s="44">
        <v>3.9</v>
      </c>
    </row>
    <row r="114" spans="1:140">
      <c r="A114" s="18" t="str">
        <f t="shared" si="0"/>
        <v>BgSc</v>
      </c>
      <c r="B114" s="19">
        <v>601</v>
      </c>
      <c r="C114" s="18" t="s">
        <v>91</v>
      </c>
      <c r="D114" s="18" t="s">
        <v>76</v>
      </c>
      <c r="E114" s="18" t="s">
        <v>84</v>
      </c>
      <c r="F114" s="3"/>
      <c r="G114" s="21">
        <v>60000</v>
      </c>
      <c r="H114" s="21">
        <f t="shared" ref="H114:L114" si="1204">(H104*4)+(H103*2)</f>
        <v>48450</v>
      </c>
      <c r="I114" s="21">
        <f t="shared" si="1204"/>
        <v>4728</v>
      </c>
      <c r="J114" s="21">
        <f t="shared" si="1204"/>
        <v>4102</v>
      </c>
      <c r="K114" s="21">
        <f t="shared" si="1204"/>
        <v>2720</v>
      </c>
      <c r="L114" s="21">
        <f t="shared" si="1204"/>
        <v>14769</v>
      </c>
      <c r="M114" s="177"/>
      <c r="N114" s="23">
        <f t="shared" si="1137"/>
        <v>0.24615000000000001</v>
      </c>
      <c r="O114" s="21">
        <f t="shared" si="1138"/>
        <v>18177.230769230773</v>
      </c>
      <c r="P114" s="21">
        <f t="shared" si="1139"/>
        <v>14541.784615384619</v>
      </c>
      <c r="Q114" s="21">
        <f t="shared" si="1140"/>
        <v>7270.8923076923093</v>
      </c>
      <c r="R114" s="21">
        <f t="shared" si="1141"/>
        <v>5816.713846153848</v>
      </c>
      <c r="S114" s="21">
        <f t="shared" si="4"/>
        <v>21812.676923076928</v>
      </c>
      <c r="T114" s="3"/>
      <c r="U114" s="26">
        <f t="shared" si="1142"/>
        <v>14769</v>
      </c>
      <c r="V114" s="27">
        <f t="shared" si="1143"/>
        <v>0.24615000000000001</v>
      </c>
      <c r="W114" s="108">
        <f t="shared" si="1144"/>
        <v>0.98460000000000003</v>
      </c>
      <c r="X114" s="3"/>
      <c r="Y114" s="29">
        <v>4</v>
      </c>
      <c r="Z114" s="26">
        <f t="shared" si="1145"/>
        <v>59076</v>
      </c>
      <c r="AA114" s="26">
        <f t="shared" si="1146"/>
        <v>47260.800000000003</v>
      </c>
      <c r="AB114" s="26">
        <f t="shared" si="1147"/>
        <v>66346.892307692309</v>
      </c>
      <c r="AC114" s="21">
        <f>(AC104*4)+(AC103*2)</f>
        <v>56394.858461538461</v>
      </c>
      <c r="AD114" s="26">
        <f t="shared" si="1148"/>
        <v>47260.800000000003</v>
      </c>
      <c r="AE114" s="26">
        <f t="shared" si="1149"/>
        <v>1514.7692307692309</v>
      </c>
      <c r="AF114" s="26">
        <f t="shared" si="1150"/>
        <v>45746.030769230769</v>
      </c>
      <c r="AG114" s="3"/>
      <c r="AH114" s="26">
        <f t="shared" si="1070"/>
        <v>14769</v>
      </c>
      <c r="AI114" s="45">
        <f t="shared" ref="AI114:AJ114" si="1205">(AI103*2)+(AI104*4)</f>
        <v>14769</v>
      </c>
      <c r="AJ114" s="45">
        <f t="shared" si="1205"/>
        <v>27560</v>
      </c>
      <c r="AK114" s="26">
        <f t="shared" ref="AK114:AK118" si="1206">SUM(AH114:AJ114)</f>
        <v>57098</v>
      </c>
      <c r="AL114" s="26">
        <f>AL103*2+AL104*4</f>
        <v>177228</v>
      </c>
      <c r="AM114" s="31">
        <f t="shared" si="1152"/>
        <v>0.32217256866860766</v>
      </c>
      <c r="AN114" s="28"/>
      <c r="AO114" s="21">
        <f t="shared" ref="AO114:AP114" si="1207">AO103*2+AO104*4</f>
        <v>800</v>
      </c>
      <c r="AP114" s="114">
        <f t="shared" si="1207"/>
        <v>73.5</v>
      </c>
      <c r="AQ114" s="26">
        <f t="shared" si="1154"/>
        <v>873.5</v>
      </c>
      <c r="AR114" s="3"/>
      <c r="AS114" s="21">
        <f>(AS104*4)+(AS103*2)</f>
        <v>7</v>
      </c>
      <c r="AT114" s="3"/>
      <c r="AU114" s="26">
        <v>41</v>
      </c>
      <c r="AV114" s="26">
        <v>78</v>
      </c>
      <c r="AW114" s="26">
        <v>121</v>
      </c>
      <c r="AX114" s="35">
        <f>AX103*2+AX104*4</f>
        <v>1152.7024390243905</v>
      </c>
      <c r="AY114" s="35">
        <f t="shared" si="1155"/>
        <v>605.9076923076924</v>
      </c>
      <c r="AZ114" s="35">
        <f t="shared" si="1156"/>
        <v>12.812499999999996</v>
      </c>
      <c r="BA114" s="35">
        <f t="shared" si="1157"/>
        <v>24.374999999999996</v>
      </c>
      <c r="BB114" s="3"/>
      <c r="BC114" s="37" t="s">
        <v>89</v>
      </c>
      <c r="BD114" s="26">
        <f t="shared" si="1158"/>
        <v>14769</v>
      </c>
      <c r="BE114" s="21">
        <f t="shared" ref="BE114:BF114" si="1208">(BE104*4)+(BE103*2)</f>
        <v>50034.144615384619</v>
      </c>
      <c r="BF114" s="21" t="e" vm="2">
        <f t="shared" si="1208"/>
        <v>#VALUE!</v>
      </c>
      <c r="BG114" s="26" t="e" vm="2">
        <f t="shared" si="1160"/>
        <v>#VALUE!</v>
      </c>
      <c r="BH114" s="26">
        <f t="shared" si="1161"/>
        <v>7270.8923076923093</v>
      </c>
      <c r="BI114" s="21" t="e" vm="2">
        <f t="shared" ref="BI114:BJ114" si="1209">(BI104*4)+(BI103*2)</f>
        <v>#VALUE!</v>
      </c>
      <c r="BJ114" s="21">
        <f t="shared" si="1209"/>
        <v>619.90769230769229</v>
      </c>
      <c r="BK114" s="39">
        <v>0.18</v>
      </c>
      <c r="BL114" s="21">
        <f t="shared" ref="BL114:BR114" si="1210">(BL104*4)+(BL103*2)</f>
        <v>8506.9439999999995</v>
      </c>
      <c r="BM114" s="21">
        <f t="shared" si="1210"/>
        <v>13935.876923076923</v>
      </c>
      <c r="BN114" s="21">
        <f t="shared" si="1210"/>
        <v>52713.969230769231</v>
      </c>
      <c r="BO114" s="21">
        <f t="shared" si="1210"/>
        <v>3029.5384615384619</v>
      </c>
      <c r="BP114" s="21">
        <f t="shared" si="1210"/>
        <v>50034.144615384619</v>
      </c>
      <c r="BQ114" s="21">
        <f t="shared" si="1210"/>
        <v>272</v>
      </c>
      <c r="BR114" s="21" t="e" vm="2">
        <f t="shared" si="1210"/>
        <v>#VALUE!</v>
      </c>
      <c r="BS114" s="26"/>
      <c r="BT114" s="21">
        <f t="shared" ref="BT114:BW114" si="1211">(BT104*4)+(BT103*2)</f>
        <v>26466.048000000003</v>
      </c>
      <c r="BU114" s="21">
        <f t="shared" si="1211"/>
        <v>269859.16800000001</v>
      </c>
      <c r="BV114" s="21">
        <f t="shared" si="1211"/>
        <v>34536.738461538465</v>
      </c>
      <c r="BW114" s="21">
        <f t="shared" si="1211"/>
        <v>16965.415384615386</v>
      </c>
      <c r="BX114" s="21"/>
      <c r="BY114" s="21">
        <f>(BY104*4)+(BY103*2)</f>
        <v>16</v>
      </c>
      <c r="BZ114" s="3"/>
      <c r="CA114" s="40">
        <f t="shared" si="1165"/>
        <v>593406.60480000009</v>
      </c>
      <c r="CB114" s="43">
        <v>15</v>
      </c>
      <c r="CC114" s="40">
        <f t="shared" si="1166"/>
        <v>708927</v>
      </c>
      <c r="CD114" s="41">
        <f t="shared" si="1167"/>
        <v>373.1132912761355</v>
      </c>
      <c r="CE114" s="42">
        <f t="shared" si="1168"/>
        <v>0.19769869570867568</v>
      </c>
      <c r="CF114" s="40" t="e">
        <f t="shared" si="1169"/>
        <v>#DIV/0!</v>
      </c>
      <c r="CG114" s="21">
        <f>(CG104*4)+(CG103*2)</f>
        <v>24587.890837233106</v>
      </c>
      <c r="CH114" s="43">
        <v>30</v>
      </c>
      <c r="CI114" s="40">
        <f t="shared" si="1170"/>
        <v>1417839</v>
      </c>
      <c r="CJ114" s="41">
        <f t="shared" si="1171"/>
        <v>746.2248702235039</v>
      </c>
      <c r="CK114" s="42">
        <f t="shared" si="1172"/>
        <v>0.21962574174216093</v>
      </c>
      <c r="CL114" s="40" t="e">
        <f t="shared" si="1173"/>
        <v>#DIV/0!</v>
      </c>
      <c r="CM114" s="21">
        <f>(CM104*4)+(CM103*2)</f>
        <v>27314.969092968211</v>
      </c>
      <c r="CN114" s="43">
        <v>70</v>
      </c>
      <c r="CO114" s="40">
        <f t="shared" si="1174"/>
        <v>3308271</v>
      </c>
      <c r="CP114" s="41">
        <f t="shared" si="1175"/>
        <v>1741.1890807498198</v>
      </c>
      <c r="CQ114" s="42">
        <f t="shared" si="1176"/>
        <v>0.27796269670783347</v>
      </c>
      <c r="CR114" s="40" t="e">
        <f t="shared" si="1177"/>
        <v>#DIV/0!</v>
      </c>
      <c r="CS114" s="21">
        <f>(CS104*4)+(CS103*2)</f>
        <v>34570.366885709416</v>
      </c>
      <c r="CT114" s="44">
        <v>3.05</v>
      </c>
      <c r="CU114" s="3"/>
      <c r="CV114" s="40">
        <f t="shared" si="1178"/>
        <v>593406.60480000009</v>
      </c>
      <c r="CW114" s="40">
        <v>15</v>
      </c>
      <c r="CX114" s="40">
        <f t="shared" si="1179"/>
        <v>708927</v>
      </c>
      <c r="CY114" s="41">
        <f t="shared" si="1180"/>
        <v>373.1132912761355</v>
      </c>
      <c r="CZ114" s="42">
        <f t="shared" si="1181"/>
        <v>1.7256914521234998</v>
      </c>
      <c r="DA114" s="40" t="e">
        <f t="shared" si="1182"/>
        <v>#DIV/0!</v>
      </c>
      <c r="DB114" s="21">
        <f>(DB104*4)+(DB103*2)</f>
        <v>214625.1541592587</v>
      </c>
      <c r="DC114" s="43">
        <v>30</v>
      </c>
      <c r="DD114" s="40">
        <f t="shared" si="1183"/>
        <v>1417839</v>
      </c>
      <c r="DE114" s="41">
        <f t="shared" si="1184"/>
        <v>746.2248702235039</v>
      </c>
      <c r="DF114" s="42">
        <f t="shared" si="1185"/>
        <v>1.7593849248781237</v>
      </c>
      <c r="DG114" s="40" t="e">
        <f t="shared" si="1186"/>
        <v>#DIV/0!</v>
      </c>
      <c r="DH114" s="21">
        <f>(DH104*4)+(DH103*2)</f>
        <v>218815.62909915799</v>
      </c>
      <c r="DI114" s="43">
        <v>70</v>
      </c>
      <c r="DJ114" s="40">
        <f t="shared" si="1187"/>
        <v>3308271</v>
      </c>
      <c r="DK114" s="41">
        <f t="shared" si="1188"/>
        <v>1741.1890807498198</v>
      </c>
      <c r="DL114" s="42">
        <f t="shared" si="1189"/>
        <v>1.8490809488852378</v>
      </c>
      <c r="DM114" s="40" t="e">
        <f t="shared" si="1190"/>
        <v>#DIV/0!</v>
      </c>
      <c r="DN114" s="21">
        <f>(DN104*4)+(DN103*2)</f>
        <v>229971.17081335647</v>
      </c>
      <c r="DO114" s="44">
        <v>3.9</v>
      </c>
      <c r="DP114" s="7"/>
      <c r="DQ114" s="40">
        <f t="shared" si="1191"/>
        <v>593406.60480000009</v>
      </c>
      <c r="DR114" s="40">
        <v>15</v>
      </c>
      <c r="DS114" s="40">
        <f t="shared" si="1192"/>
        <v>708927</v>
      </c>
      <c r="DT114" s="41">
        <f t="shared" si="1193"/>
        <v>373.1132912761355</v>
      </c>
      <c r="DU114" s="42">
        <f t="shared" si="1194"/>
        <v>0.1414418925460933</v>
      </c>
      <c r="DV114" s="40">
        <f t="shared" si="1195"/>
        <v>414.57032364015055</v>
      </c>
      <c r="DW114" s="21">
        <f>(DW104*4)+(DW103*2)</f>
        <v>33256.999976330379</v>
      </c>
      <c r="DX114" s="43">
        <v>30</v>
      </c>
      <c r="DY114" s="40">
        <f t="shared" si="1196"/>
        <v>1417839</v>
      </c>
      <c r="DZ114" s="41">
        <f t="shared" si="1197"/>
        <v>746.2248702235039</v>
      </c>
      <c r="EA114" s="42">
        <f t="shared" si="1198"/>
        <v>0.14904084160959152</v>
      </c>
      <c r="EB114" s="40">
        <f t="shared" si="1199"/>
        <v>829.1387446927821</v>
      </c>
      <c r="EC114" s="21">
        <f>(EC104*4)+(EC103*2)</f>
        <v>35043.728393744197</v>
      </c>
      <c r="ED114" s="43">
        <v>70</v>
      </c>
      <c r="EE114" s="40">
        <f t="shared" si="1200"/>
        <v>3308271</v>
      </c>
      <c r="EF114" s="41">
        <f t="shared" si="1201"/>
        <v>1741.1890807498198</v>
      </c>
      <c r="EG114" s="42">
        <f t="shared" si="1202"/>
        <v>0.16944896561359715</v>
      </c>
      <c r="EH114" s="40">
        <f t="shared" si="1203"/>
        <v>1934.6545341664664</v>
      </c>
      <c r="EI114" s="21">
        <f>(EI104*4)+(EI103*2)</f>
        <v>39842.25708493081</v>
      </c>
      <c r="EJ114" s="44">
        <v>3.9</v>
      </c>
    </row>
    <row r="115" spans="1:140">
      <c r="A115" s="18" t="str">
        <f t="shared" si="0"/>
        <v>BgSa</v>
      </c>
      <c r="B115" s="19">
        <v>602</v>
      </c>
      <c r="C115" s="18" t="s">
        <v>91</v>
      </c>
      <c r="D115" s="18" t="s">
        <v>76</v>
      </c>
      <c r="E115" s="18" t="s">
        <v>85</v>
      </c>
      <c r="F115" s="3"/>
      <c r="G115" s="21">
        <v>60000</v>
      </c>
      <c r="H115" s="21">
        <f t="shared" ref="H115:L115" si="1212">(H105*4)+(H103*2)</f>
        <v>48422</v>
      </c>
      <c r="I115" s="21">
        <f t="shared" si="1212"/>
        <v>5384</v>
      </c>
      <c r="J115" s="21">
        <f t="shared" si="1212"/>
        <v>3554</v>
      </c>
      <c r="K115" s="21">
        <f t="shared" si="1212"/>
        <v>2640</v>
      </c>
      <c r="L115" s="21">
        <f t="shared" si="1212"/>
        <v>15390</v>
      </c>
      <c r="M115" s="179"/>
      <c r="N115" s="23">
        <f t="shared" si="1137"/>
        <v>0.25650000000000001</v>
      </c>
      <c r="O115" s="21">
        <f t="shared" si="1138"/>
        <v>18941.538461538461</v>
      </c>
      <c r="P115" s="21">
        <f t="shared" si="1139"/>
        <v>15153.23076923077</v>
      </c>
      <c r="Q115" s="21">
        <f t="shared" si="1140"/>
        <v>7576.6153846153848</v>
      </c>
      <c r="R115" s="21">
        <f t="shared" si="1141"/>
        <v>6061.292307692308</v>
      </c>
      <c r="S115" s="21">
        <f t="shared" si="4"/>
        <v>22729.846153846156</v>
      </c>
      <c r="T115" s="3"/>
      <c r="U115" s="26">
        <f t="shared" si="1142"/>
        <v>15390</v>
      </c>
      <c r="V115" s="27">
        <f t="shared" si="1143"/>
        <v>0.25650000000000001</v>
      </c>
      <c r="W115" s="108">
        <f t="shared" si="1144"/>
        <v>1.026</v>
      </c>
      <c r="X115" s="3"/>
      <c r="Y115" s="29">
        <v>4</v>
      </c>
      <c r="Z115" s="26">
        <f t="shared" si="1145"/>
        <v>61560</v>
      </c>
      <c r="AA115" s="26">
        <f t="shared" si="1146"/>
        <v>49248</v>
      </c>
      <c r="AB115" s="26">
        <f t="shared" si="1147"/>
        <v>69136.61538461539</v>
      </c>
      <c r="AC115" s="21">
        <f>(AC105*4)+(AC103*2)</f>
        <v>58766.123076923075</v>
      </c>
      <c r="AD115" s="26">
        <f t="shared" si="1148"/>
        <v>49248</v>
      </c>
      <c r="AE115" s="26">
        <f t="shared" si="1149"/>
        <v>1578.4615384615383</v>
      </c>
      <c r="AF115" s="26">
        <f t="shared" si="1150"/>
        <v>47669.538461538461</v>
      </c>
      <c r="AG115" s="3"/>
      <c r="AH115" s="26">
        <f t="shared" si="1070"/>
        <v>15390</v>
      </c>
      <c r="AI115" s="45">
        <f t="shared" ref="AI115:AJ115" si="1213">(AI103*2)+(AI105*4)</f>
        <v>15390</v>
      </c>
      <c r="AJ115" s="45">
        <f t="shared" si="1213"/>
        <v>29968</v>
      </c>
      <c r="AK115" s="26">
        <f t="shared" si="1206"/>
        <v>60748</v>
      </c>
      <c r="AL115" s="26">
        <f>AL103*2+AL105*4</f>
        <v>184680</v>
      </c>
      <c r="AM115" s="31">
        <f t="shared" si="1152"/>
        <v>0.32893653887805935</v>
      </c>
      <c r="AN115" s="28"/>
      <c r="AO115" s="21">
        <f t="shared" ref="AO115:AP115" si="1214">AO103*2+AO105*4</f>
        <v>760</v>
      </c>
      <c r="AP115" s="114">
        <f t="shared" si="1214"/>
        <v>105</v>
      </c>
      <c r="AQ115" s="26">
        <f t="shared" si="1154"/>
        <v>865</v>
      </c>
      <c r="AR115" s="3"/>
      <c r="AS115" s="21">
        <f>(AS105*4)+(AS103*2)</f>
        <v>10</v>
      </c>
      <c r="AT115" s="3"/>
      <c r="AU115" s="26">
        <v>41</v>
      </c>
      <c r="AV115" s="26">
        <v>78</v>
      </c>
      <c r="AW115" s="26">
        <v>121</v>
      </c>
      <c r="AX115" s="35">
        <f>AX103*2+AX105*4</f>
        <v>1201.1707317073174</v>
      </c>
      <c r="AY115" s="35">
        <f t="shared" si="1155"/>
        <v>631.38461538461536</v>
      </c>
      <c r="AZ115" s="35">
        <f t="shared" si="1156"/>
        <v>12.812499999999996</v>
      </c>
      <c r="BA115" s="35">
        <f t="shared" si="1157"/>
        <v>24.375</v>
      </c>
      <c r="BB115" s="3"/>
      <c r="BC115" s="37" t="s">
        <v>89</v>
      </c>
      <c r="BD115" s="26">
        <f t="shared" si="1158"/>
        <v>15390</v>
      </c>
      <c r="BE115" s="21">
        <f t="shared" ref="BE115:BF115" si="1215">(BE105*4)+(BE103*2)</f>
        <v>52448.830769230772</v>
      </c>
      <c r="BF115" s="21" t="e" vm="2">
        <f t="shared" si="1215"/>
        <v>#VALUE!</v>
      </c>
      <c r="BG115" s="26" t="e" vm="2">
        <f t="shared" si="1160"/>
        <v>#VALUE!</v>
      </c>
      <c r="BH115" s="26">
        <f t="shared" si="1161"/>
        <v>7576.6153846153848</v>
      </c>
      <c r="BI115" s="21" t="e" vm="2">
        <f t="shared" ref="BI115:BJ115" si="1216">(BI105*4)+(BI103*2)</f>
        <v>#VALUE!</v>
      </c>
      <c r="BJ115" s="21">
        <f t="shared" si="1216"/>
        <v>651.38461538461547</v>
      </c>
      <c r="BK115" s="39">
        <v>0.18</v>
      </c>
      <c r="BL115" s="21">
        <f t="shared" ref="BL115:BR115" si="1217">(BL105*4)+(BL103*2)</f>
        <v>8864.64</v>
      </c>
      <c r="BM115" s="21">
        <f t="shared" si="1217"/>
        <v>14521.846153846154</v>
      </c>
      <c r="BN115" s="21">
        <f t="shared" si="1217"/>
        <v>54930.461538461539</v>
      </c>
      <c r="BO115" s="21">
        <f t="shared" si="1217"/>
        <v>3156.9230769230771</v>
      </c>
      <c r="BP115" s="21">
        <f t="shared" si="1217"/>
        <v>52448.830769230772</v>
      </c>
      <c r="BQ115" s="21">
        <f t="shared" si="1217"/>
        <v>128</v>
      </c>
      <c r="BR115" s="21" t="e" vm="2">
        <f t="shared" si="1217"/>
        <v>#VALUE!</v>
      </c>
      <c r="BS115" s="26"/>
      <c r="BT115" s="21">
        <f t="shared" ref="BT115:BW115" si="1218">(BT105*4)+(BT103*2)</f>
        <v>27578.880000000005</v>
      </c>
      <c r="BU115" s="21">
        <f t="shared" si="1218"/>
        <v>281206.08</v>
      </c>
      <c r="BV115" s="21">
        <f t="shared" si="1218"/>
        <v>35988.923076923078</v>
      </c>
      <c r="BW115" s="21">
        <f t="shared" si="1218"/>
        <v>17678.769230769234</v>
      </c>
      <c r="BX115" s="21"/>
      <c r="BY115" s="21">
        <f>(BY105*4)+(BY103*2)</f>
        <v>16</v>
      </c>
      <c r="BZ115" s="3"/>
      <c r="CA115" s="40">
        <f t="shared" si="1165"/>
        <v>618357.88800000004</v>
      </c>
      <c r="CB115" s="43">
        <v>15</v>
      </c>
      <c r="CC115" s="40">
        <f t="shared" si="1166"/>
        <v>738735</v>
      </c>
      <c r="CD115" s="41">
        <f t="shared" si="1167"/>
        <v>388.80171232876711</v>
      </c>
      <c r="CE115" s="42">
        <f t="shared" si="1168"/>
        <v>0.19740174527891297</v>
      </c>
      <c r="CF115" s="40" t="e">
        <f t="shared" si="1169"/>
        <v>#DIV/0!</v>
      </c>
      <c r="CG115" s="21">
        <f>(CG105*4)+(CG103*2)</f>
        <v>25583.266188147118</v>
      </c>
      <c r="CH115" s="43">
        <v>30</v>
      </c>
      <c r="CI115" s="40">
        <f t="shared" si="1170"/>
        <v>1477455</v>
      </c>
      <c r="CJ115" s="41">
        <f t="shared" si="1171"/>
        <v>777.60171232876712</v>
      </c>
      <c r="CK115" s="42">
        <f t="shared" si="1172"/>
        <v>0.21912240525741894</v>
      </c>
      <c r="CL115" s="40" t="e">
        <f t="shared" si="1173"/>
        <v>#DIV/0!</v>
      </c>
      <c r="CM115" s="21">
        <f>(CM105*4)+(CM103*2)</f>
        <v>28398.263721361498</v>
      </c>
      <c r="CN115" s="43">
        <v>70</v>
      </c>
      <c r="CO115" s="40">
        <f t="shared" si="1174"/>
        <v>3447375</v>
      </c>
      <c r="CP115" s="41">
        <f t="shared" si="1175"/>
        <v>1814.4017123287672</v>
      </c>
      <c r="CQ115" s="42">
        <f t="shared" si="1176"/>
        <v>0.27699083881379138</v>
      </c>
      <c r="CR115" s="40" t="e">
        <f t="shared" si="1177"/>
        <v>#DIV/0!</v>
      </c>
      <c r="CS115" s="21">
        <f>(CS105*4)+(CS103*2)</f>
        <v>35898.012710267365</v>
      </c>
      <c r="CT115" s="44">
        <v>3.05</v>
      </c>
      <c r="CU115" s="3"/>
      <c r="CV115" s="40">
        <f t="shared" si="1178"/>
        <v>618357.88800000004</v>
      </c>
      <c r="CW115" s="40">
        <v>15</v>
      </c>
      <c r="CX115" s="40">
        <f t="shared" si="1179"/>
        <v>738735</v>
      </c>
      <c r="CY115" s="41">
        <f t="shared" si="1180"/>
        <v>388.80171232876711</v>
      </c>
      <c r="CZ115" s="42">
        <f t="shared" si="1181"/>
        <v>1.7246043862468412</v>
      </c>
      <c r="DA115" s="40" t="e">
        <f t="shared" si="1182"/>
        <v>#DIV/0!</v>
      </c>
      <c r="DB115" s="21">
        <f>(DB105*4)+(DB103*2)</f>
        <v>223508.72845759062</v>
      </c>
      <c r="DC115" s="43">
        <v>30</v>
      </c>
      <c r="DD115" s="40">
        <f t="shared" si="1183"/>
        <v>1477455</v>
      </c>
      <c r="DE115" s="41">
        <f t="shared" si="1184"/>
        <v>777.60171232876712</v>
      </c>
      <c r="DF115" s="42">
        <f t="shared" si="1185"/>
        <v>1.7579679703609072</v>
      </c>
      <c r="DG115" s="40" t="e">
        <f t="shared" si="1186"/>
        <v>#DIV/0!</v>
      </c>
      <c r="DH115" s="21">
        <f>(DH105*4)+(DH103*2)</f>
        <v>227832.64895877356</v>
      </c>
      <c r="DI115" s="43">
        <v>70</v>
      </c>
      <c r="DJ115" s="40">
        <f t="shared" si="1187"/>
        <v>3447375</v>
      </c>
      <c r="DK115" s="41">
        <f t="shared" si="1188"/>
        <v>1814.4017123287672</v>
      </c>
      <c r="DL115" s="42">
        <f t="shared" si="1189"/>
        <v>1.8469567340314546</v>
      </c>
      <c r="DM115" s="40" t="e">
        <f t="shared" si="1190"/>
        <v>#DIV/0!</v>
      </c>
      <c r="DN115" s="21">
        <f>(DN105*4)+(DN103*2)</f>
        <v>239365.59273047652</v>
      </c>
      <c r="DO115" s="44">
        <v>3.9</v>
      </c>
      <c r="DP115" s="7"/>
      <c r="DQ115" s="40">
        <f t="shared" si="1191"/>
        <v>618357.88800000004</v>
      </c>
      <c r="DR115" s="40">
        <v>15</v>
      </c>
      <c r="DS115" s="40">
        <f t="shared" si="1192"/>
        <v>738735</v>
      </c>
      <c r="DT115" s="41">
        <f t="shared" si="1193"/>
        <v>388.80171232876711</v>
      </c>
      <c r="DU115" s="42">
        <f t="shared" si="1194"/>
        <v>0.14098562831152092</v>
      </c>
      <c r="DV115" s="40">
        <f t="shared" si="1195"/>
        <v>432.001902587519</v>
      </c>
      <c r="DW115" s="21">
        <f>(DW105*4)+(DW103*2)</f>
        <v>34543.583199431756</v>
      </c>
      <c r="DX115" s="43">
        <v>30</v>
      </c>
      <c r="DY115" s="40">
        <f t="shared" si="1196"/>
        <v>1477455</v>
      </c>
      <c r="DZ115" s="41">
        <f t="shared" si="1197"/>
        <v>777.60171232876712</v>
      </c>
      <c r="EA115" s="42">
        <f t="shared" si="1198"/>
        <v>0.14852462056716517</v>
      </c>
      <c r="EB115" s="40">
        <f t="shared" si="1199"/>
        <v>864.001902587519</v>
      </c>
      <c r="EC115" s="21">
        <f>(EC105*4)+(EC103*2)</f>
        <v>36390.748824337061</v>
      </c>
      <c r="ED115" s="43">
        <v>70</v>
      </c>
      <c r="EE115" s="40">
        <f t="shared" si="1200"/>
        <v>3447375</v>
      </c>
      <c r="EF115" s="41">
        <f t="shared" si="1201"/>
        <v>1814.4017123287672</v>
      </c>
      <c r="EG115" s="42">
        <f t="shared" si="1202"/>
        <v>0.16877211487593458</v>
      </c>
      <c r="EH115" s="40">
        <f t="shared" si="1203"/>
        <v>2016.001902587519</v>
      </c>
      <c r="EI115" s="21">
        <f>(EI105*4)+(EI103*2)</f>
        <v>41351.687131393162</v>
      </c>
      <c r="EJ115" s="44">
        <v>3.9</v>
      </c>
    </row>
    <row r="116" spans="1:140">
      <c r="A116" s="48" t="str">
        <f t="shared" si="0"/>
        <v>BmGi</v>
      </c>
      <c r="B116" s="49">
        <v>610</v>
      </c>
      <c r="C116" s="48" t="s">
        <v>91</v>
      </c>
      <c r="D116" s="48" t="s">
        <v>81</v>
      </c>
      <c r="E116" s="48" t="s">
        <v>83</v>
      </c>
      <c r="F116" s="3"/>
      <c r="G116" s="50">
        <v>60000</v>
      </c>
      <c r="H116" s="50">
        <f t="shared" ref="H116:L116" si="1219">H106*6</f>
        <v>43350</v>
      </c>
      <c r="I116" s="50">
        <f t="shared" si="1219"/>
        <v>6984</v>
      </c>
      <c r="J116" s="50">
        <f t="shared" si="1219"/>
        <v>5586</v>
      </c>
      <c r="K116" s="50">
        <f t="shared" si="1219"/>
        <v>4080</v>
      </c>
      <c r="L116" s="50">
        <f t="shared" si="1219"/>
        <v>21222</v>
      </c>
      <c r="M116" s="121"/>
      <c r="N116" s="107">
        <f t="shared" si="1137"/>
        <v>0.35370000000000001</v>
      </c>
      <c r="O116" s="52">
        <f t="shared" si="1138"/>
        <v>32649.230769230773</v>
      </c>
      <c r="P116" s="52">
        <f t="shared" si="1139"/>
        <v>26119.384615384621</v>
      </c>
      <c r="Q116" s="52">
        <f t="shared" si="1140"/>
        <v>13059.692307692309</v>
      </c>
      <c r="R116" s="52">
        <f t="shared" si="1141"/>
        <v>10447.753846153848</v>
      </c>
      <c r="S116" s="52">
        <f t="shared" si="4"/>
        <v>39179.076923076922</v>
      </c>
      <c r="T116" s="3"/>
      <c r="U116" s="58">
        <f t="shared" si="1142"/>
        <v>21222</v>
      </c>
      <c r="V116" s="56">
        <f t="shared" si="1143"/>
        <v>0.35370000000000001</v>
      </c>
      <c r="W116" s="110">
        <f t="shared" si="1144"/>
        <v>1.7685</v>
      </c>
      <c r="X116" s="3"/>
      <c r="Y116" s="57">
        <v>5</v>
      </c>
      <c r="Z116" s="58">
        <f t="shared" si="1145"/>
        <v>106110</v>
      </c>
      <c r="AA116" s="58">
        <f t="shared" si="1146"/>
        <v>84888</v>
      </c>
      <c r="AB116" s="58">
        <f t="shared" si="1147"/>
        <v>119169.69230769231</v>
      </c>
      <c r="AC116" s="50">
        <f>AC106*6</f>
        <v>101294.23846153845</v>
      </c>
      <c r="AD116" s="58">
        <f t="shared" si="1148"/>
        <v>84888</v>
      </c>
      <c r="AE116" s="58">
        <f t="shared" si="1149"/>
        <v>2720.7692307692309</v>
      </c>
      <c r="AF116" s="58">
        <f t="shared" si="1150"/>
        <v>82167.230769230766</v>
      </c>
      <c r="AG116" s="3"/>
      <c r="AH116" s="58">
        <f t="shared" si="1070"/>
        <v>21222</v>
      </c>
      <c r="AI116" s="50">
        <f t="shared" ref="AI116:AJ116" si="1220">AI106*6</f>
        <v>21222</v>
      </c>
      <c r="AJ116" s="58">
        <f t="shared" si="1220"/>
        <v>47160</v>
      </c>
      <c r="AK116" s="58">
        <f t="shared" si="1206"/>
        <v>89604</v>
      </c>
      <c r="AL116" s="58">
        <f>AL106*6</f>
        <v>318330</v>
      </c>
      <c r="AM116" s="59">
        <f t="shared" si="1152"/>
        <v>0.2814814814814815</v>
      </c>
      <c r="AN116" s="32"/>
      <c r="AO116" s="50">
        <f t="shared" ref="AO116:AP116" si="1221">AO106*6</f>
        <v>1200</v>
      </c>
      <c r="AP116" s="115">
        <f t="shared" si="1221"/>
        <v>63</v>
      </c>
      <c r="AQ116" s="55">
        <f t="shared" si="1154"/>
        <v>1263</v>
      </c>
      <c r="AR116" s="3"/>
      <c r="AS116" s="50">
        <f>AS106*6</f>
        <v>6</v>
      </c>
      <c r="AT116" s="3"/>
      <c r="AU116" s="58">
        <v>41</v>
      </c>
      <c r="AV116" s="58">
        <v>78</v>
      </c>
      <c r="AW116" s="58">
        <v>121</v>
      </c>
      <c r="AX116" s="62">
        <f>AX106*6</f>
        <v>2070.439024390244</v>
      </c>
      <c r="AY116" s="62">
        <f t="shared" si="1155"/>
        <v>1088.3076923076924</v>
      </c>
      <c r="AZ116" s="62">
        <f t="shared" si="1156"/>
        <v>10.25</v>
      </c>
      <c r="BA116" s="62">
        <f t="shared" si="1157"/>
        <v>19.5</v>
      </c>
      <c r="BB116" s="3"/>
      <c r="BC116" s="58" t="s">
        <v>89</v>
      </c>
      <c r="BD116" s="58">
        <f t="shared" si="1158"/>
        <v>21222</v>
      </c>
      <c r="BE116" s="50">
        <f t="shared" ref="BE116:BF116" si="1222">BE106*6</f>
        <v>89886.484615384601</v>
      </c>
      <c r="BF116" s="50" t="e" vm="2">
        <f t="shared" si="1222"/>
        <v>#VALUE!</v>
      </c>
      <c r="BG116" s="58" t="e" vm="2">
        <f t="shared" si="1160"/>
        <v>#VALUE!</v>
      </c>
      <c r="BH116" s="58">
        <f t="shared" si="1161"/>
        <v>13059.692307692309</v>
      </c>
      <c r="BI116" s="50" t="e" vm="2">
        <f t="shared" ref="BI116:BJ116" si="1223">BI106*6</f>
        <v>#VALUE!</v>
      </c>
      <c r="BJ116" s="50">
        <f t="shared" si="1223"/>
        <v>1100.3076923076924</v>
      </c>
      <c r="BK116" s="64">
        <v>0.18</v>
      </c>
      <c r="BL116" s="50">
        <f t="shared" ref="BL116:BR116" si="1224">BL106*6</f>
        <v>15279.84</v>
      </c>
      <c r="BM116" s="50">
        <f t="shared" si="1224"/>
        <v>25031.076923076926</v>
      </c>
      <c r="BN116" s="50">
        <f t="shared" si="1224"/>
        <v>94682.769230769234</v>
      </c>
      <c r="BO116" s="50">
        <f t="shared" si="1224"/>
        <v>5441.538461538461</v>
      </c>
      <c r="BP116" s="50">
        <f t="shared" si="1224"/>
        <v>89886.484615384601</v>
      </c>
      <c r="BQ116" s="50">
        <f t="shared" si="1224"/>
        <v>480</v>
      </c>
      <c r="BR116" s="50" t="e" vm="2">
        <f t="shared" si="1224"/>
        <v>#VALUE!</v>
      </c>
      <c r="BS116" s="26"/>
      <c r="BT116" s="50">
        <f t="shared" ref="BT116:BW116" si="1225">BT106*6</f>
        <v>47537.280000000006</v>
      </c>
      <c r="BU116" s="50">
        <f t="shared" si="1225"/>
        <v>484710.48</v>
      </c>
      <c r="BV116" s="50">
        <f t="shared" si="1225"/>
        <v>62033.538461538454</v>
      </c>
      <c r="BW116" s="50">
        <f t="shared" si="1225"/>
        <v>30472.615384615383</v>
      </c>
      <c r="BX116" s="50"/>
      <c r="BY116" s="50">
        <f>BY106*6</f>
        <v>96</v>
      </c>
      <c r="BZ116" s="3"/>
      <c r="CA116" s="65">
        <f t="shared" si="1165"/>
        <v>1065853.7279999999</v>
      </c>
      <c r="CB116" s="68">
        <v>15</v>
      </c>
      <c r="CC116" s="65">
        <f t="shared" si="1166"/>
        <v>1273335</v>
      </c>
      <c r="CD116" s="66">
        <f t="shared" si="1167"/>
        <v>670.17013338139873</v>
      </c>
      <c r="CE116" s="67">
        <f t="shared" si="1168"/>
        <v>0.20079648214227502</v>
      </c>
      <c r="CF116" s="65" t="e">
        <f t="shared" si="1169"/>
        <v>#DIV/0!</v>
      </c>
      <c r="CG116" s="50">
        <f>CG106*6</f>
        <v>44855.82046340379</v>
      </c>
      <c r="CH116" s="68">
        <v>30</v>
      </c>
      <c r="CI116" s="65">
        <f t="shared" si="1170"/>
        <v>2546655</v>
      </c>
      <c r="CJ116" s="66">
        <f t="shared" si="1171"/>
        <v>1340.3385544340304</v>
      </c>
      <c r="CK116" s="67">
        <f t="shared" si="1172"/>
        <v>0.21122431026396921</v>
      </c>
      <c r="CL116" s="65" t="e">
        <f t="shared" si="1173"/>
        <v>#DIV/0!</v>
      </c>
      <c r="CM116" s="50">
        <f>CM106*6</f>
        <v>47185.287499178463</v>
      </c>
      <c r="CN116" s="68">
        <v>70</v>
      </c>
      <c r="CO116" s="65">
        <f t="shared" si="1174"/>
        <v>5942175</v>
      </c>
      <c r="CP116" s="66">
        <f t="shared" si="1175"/>
        <v>3127.4543439077142</v>
      </c>
      <c r="CQ116" s="67">
        <f t="shared" si="1176"/>
        <v>0.26315352712612883</v>
      </c>
      <c r="CR116" s="65" t="e">
        <f t="shared" si="1177"/>
        <v>#DIV/0!</v>
      </c>
      <c r="CS116" s="50">
        <f>CS106*6</f>
        <v>58785.727922849532</v>
      </c>
      <c r="CT116" s="69">
        <v>3.05</v>
      </c>
      <c r="CU116" s="3"/>
      <c r="CV116" s="65">
        <f t="shared" si="1178"/>
        <v>1065853.7279999999</v>
      </c>
      <c r="CW116" s="65">
        <v>15</v>
      </c>
      <c r="CX116" s="65">
        <f t="shared" si="1179"/>
        <v>1273335</v>
      </c>
      <c r="CY116" s="66">
        <f t="shared" si="1180"/>
        <v>670.17013338139873</v>
      </c>
      <c r="CZ116" s="67">
        <f t="shared" si="1181"/>
        <v>1.4764937403562228</v>
      </c>
      <c r="DA116" s="65" t="e">
        <f t="shared" si="1182"/>
        <v>#DIV/0!</v>
      </c>
      <c r="DB116" s="50">
        <f>DB106*6</f>
        <v>329833.159556208</v>
      </c>
      <c r="DC116" s="68">
        <v>30</v>
      </c>
      <c r="DD116" s="65">
        <f t="shared" si="1183"/>
        <v>2546655</v>
      </c>
      <c r="DE116" s="66">
        <f t="shared" si="1184"/>
        <v>1340.3385544340304</v>
      </c>
      <c r="DF116" s="67">
        <f t="shared" si="1185"/>
        <v>1.4986086195366863</v>
      </c>
      <c r="DG116" s="65" t="e">
        <f t="shared" si="1186"/>
        <v>#DIV/0!</v>
      </c>
      <c r="DH116" s="50">
        <f>DH106*6</f>
        <v>334773.39077692165</v>
      </c>
      <c r="DI116" s="68">
        <v>70</v>
      </c>
      <c r="DJ116" s="65">
        <f t="shared" si="1187"/>
        <v>5942175</v>
      </c>
      <c r="DK116" s="66">
        <f t="shared" si="1188"/>
        <v>3127.4543439077142</v>
      </c>
      <c r="DL116" s="67">
        <f t="shared" si="1189"/>
        <v>1.5816906574633631</v>
      </c>
      <c r="DM116" s="65" t="e">
        <f t="shared" si="1190"/>
        <v>#DIV/0!</v>
      </c>
      <c r="DN116" s="50">
        <f>DN106*6</f>
        <v>353333.04350197362</v>
      </c>
      <c r="DO116" s="69">
        <v>3.9</v>
      </c>
      <c r="DP116" s="7"/>
      <c r="DQ116" s="65">
        <f t="shared" si="1191"/>
        <v>1065853.7279999999</v>
      </c>
      <c r="DR116" s="65">
        <v>15</v>
      </c>
      <c r="DS116" s="65">
        <f t="shared" si="1192"/>
        <v>1273335</v>
      </c>
      <c r="DT116" s="66">
        <f t="shared" si="1193"/>
        <v>670.17013338139873</v>
      </c>
      <c r="DU116" s="67">
        <f t="shared" si="1194"/>
        <v>0.13597099098859844</v>
      </c>
      <c r="DV116" s="65">
        <f t="shared" si="1195"/>
        <v>744.63348153488744</v>
      </c>
      <c r="DW116" s="50">
        <f>DW106*6</f>
        <v>57424.405388259431</v>
      </c>
      <c r="DX116" s="68">
        <v>30</v>
      </c>
      <c r="DY116" s="65">
        <f t="shared" si="1196"/>
        <v>2546655</v>
      </c>
      <c r="DZ116" s="66">
        <f t="shared" si="1197"/>
        <v>1340.3385544340304</v>
      </c>
      <c r="EA116" s="67">
        <f t="shared" si="1198"/>
        <v>0.13750966741334306</v>
      </c>
      <c r="EB116" s="65">
        <f t="shared" si="1199"/>
        <v>1489.2650604822559</v>
      </c>
      <c r="EC116" s="50">
        <f>EC106*6</f>
        <v>58074.232076536646</v>
      </c>
      <c r="ED116" s="68">
        <v>70</v>
      </c>
      <c r="EE116" s="65">
        <f t="shared" si="1200"/>
        <v>5942175</v>
      </c>
      <c r="EF116" s="66">
        <f t="shared" si="1201"/>
        <v>3127.4543439077142</v>
      </c>
      <c r="EG116" s="67">
        <f t="shared" si="1202"/>
        <v>0.15458291720426451</v>
      </c>
      <c r="EH116" s="65">
        <f t="shared" si="1203"/>
        <v>3474.9492710085715</v>
      </c>
      <c r="EI116" s="50">
        <f>EI106*6</f>
        <v>65284.749630027887</v>
      </c>
      <c r="EJ116" s="69">
        <v>3.9</v>
      </c>
    </row>
    <row r="117" spans="1:140">
      <c r="A117" s="48" t="str">
        <f t="shared" si="0"/>
        <v>BmSc</v>
      </c>
      <c r="B117" s="49">
        <v>611</v>
      </c>
      <c r="C117" s="48" t="s">
        <v>91</v>
      </c>
      <c r="D117" s="48" t="s">
        <v>81</v>
      </c>
      <c r="E117" s="48" t="s">
        <v>84</v>
      </c>
      <c r="F117" s="3"/>
      <c r="G117" s="50">
        <v>60000</v>
      </c>
      <c r="H117" s="50">
        <f t="shared" ref="H117:L117" si="1226">(H107*4)+(H106*2)</f>
        <v>48450</v>
      </c>
      <c r="I117" s="50">
        <f t="shared" si="1226"/>
        <v>4728</v>
      </c>
      <c r="J117" s="50">
        <f t="shared" si="1226"/>
        <v>4102</v>
      </c>
      <c r="K117" s="50">
        <f t="shared" si="1226"/>
        <v>2720</v>
      </c>
      <c r="L117" s="50">
        <f t="shared" si="1226"/>
        <v>14769</v>
      </c>
      <c r="M117" s="177"/>
      <c r="N117" s="107">
        <f t="shared" si="1137"/>
        <v>0.24615000000000001</v>
      </c>
      <c r="O117" s="52">
        <f t="shared" si="1138"/>
        <v>22721.538461538461</v>
      </c>
      <c r="P117" s="52">
        <f t="shared" si="1139"/>
        <v>18177.23076923077</v>
      </c>
      <c r="Q117" s="52">
        <f t="shared" si="1140"/>
        <v>9088.6153846153848</v>
      </c>
      <c r="R117" s="52">
        <f t="shared" si="1141"/>
        <v>7270.8923076923083</v>
      </c>
      <c r="S117" s="52">
        <f t="shared" si="4"/>
        <v>27265.846153846156</v>
      </c>
      <c r="T117" s="3"/>
      <c r="U117" s="58">
        <f t="shared" si="1142"/>
        <v>14769</v>
      </c>
      <c r="V117" s="56">
        <f t="shared" si="1143"/>
        <v>0.24615000000000001</v>
      </c>
      <c r="W117" s="110">
        <f t="shared" si="1144"/>
        <v>1.23075</v>
      </c>
      <c r="X117" s="3"/>
      <c r="Y117" s="57">
        <v>5</v>
      </c>
      <c r="Z117" s="58">
        <f t="shared" si="1145"/>
        <v>73845</v>
      </c>
      <c r="AA117" s="58">
        <f t="shared" si="1146"/>
        <v>59076</v>
      </c>
      <c r="AB117" s="58">
        <f t="shared" si="1147"/>
        <v>82933.61538461539</v>
      </c>
      <c r="AC117" s="50">
        <f>(AC107*4)+(AC106*2)</f>
        <v>70493.573076923072</v>
      </c>
      <c r="AD117" s="58">
        <f t="shared" si="1148"/>
        <v>59076</v>
      </c>
      <c r="AE117" s="58">
        <f t="shared" si="1149"/>
        <v>1893.4615384615383</v>
      </c>
      <c r="AF117" s="58">
        <f t="shared" si="1150"/>
        <v>57182.538461538461</v>
      </c>
      <c r="AG117" s="3"/>
      <c r="AH117" s="58">
        <f t="shared" si="1070"/>
        <v>14769</v>
      </c>
      <c r="AI117" s="51">
        <f t="shared" ref="AI117:AJ117" si="1227">AI106*2+AI107*4</f>
        <v>14769</v>
      </c>
      <c r="AJ117" s="58">
        <f t="shared" si="1227"/>
        <v>34680</v>
      </c>
      <c r="AK117" s="58">
        <f t="shared" si="1206"/>
        <v>64218</v>
      </c>
      <c r="AL117" s="58">
        <f>AL107*4+AL106*2</f>
        <v>221535</v>
      </c>
      <c r="AM117" s="59">
        <f t="shared" si="1152"/>
        <v>0.28987744600176046</v>
      </c>
      <c r="AN117" s="32"/>
      <c r="AO117" s="50">
        <f t="shared" ref="AO117:AP117" si="1228">AO106*2+AO107*4</f>
        <v>800</v>
      </c>
      <c r="AP117" s="115">
        <f t="shared" si="1228"/>
        <v>73.5</v>
      </c>
      <c r="AQ117" s="55">
        <f t="shared" si="1154"/>
        <v>873.5</v>
      </c>
      <c r="AR117" s="3"/>
      <c r="AS117" s="50">
        <f>(AS107*4)+(AS106*2)</f>
        <v>7</v>
      </c>
      <c r="AT117" s="3"/>
      <c r="AU117" s="58">
        <v>41</v>
      </c>
      <c r="AV117" s="58">
        <v>78</v>
      </c>
      <c r="AW117" s="58">
        <v>121</v>
      </c>
      <c r="AX117" s="62">
        <f>AX106*2+AX107*4</f>
        <v>1440.8780487804879</v>
      </c>
      <c r="AY117" s="62">
        <f t="shared" si="1155"/>
        <v>757.38461538461536</v>
      </c>
      <c r="AZ117" s="62">
        <f t="shared" si="1156"/>
        <v>10.25</v>
      </c>
      <c r="BA117" s="62">
        <f t="shared" si="1157"/>
        <v>19.5</v>
      </c>
      <c r="BB117" s="3"/>
      <c r="BC117" s="58" t="s">
        <v>89</v>
      </c>
      <c r="BD117" s="58">
        <f t="shared" si="1158"/>
        <v>14769</v>
      </c>
      <c r="BE117" s="50">
        <f t="shared" ref="BE117:BF117" si="1229">(BE107*4)+(BE106*2)</f>
        <v>62582.680769230763</v>
      </c>
      <c r="BF117" s="50" t="e" vm="2">
        <f t="shared" si="1229"/>
        <v>#VALUE!</v>
      </c>
      <c r="BG117" s="58" t="e" vm="2">
        <f t="shared" si="1160"/>
        <v>#VALUE!</v>
      </c>
      <c r="BH117" s="58">
        <f t="shared" si="1161"/>
        <v>9088.6153846153848</v>
      </c>
      <c r="BI117" s="50" t="e" vm="2">
        <f t="shared" ref="BI117:BJ117" si="1230">(BI107*4)+(BI106*2)</f>
        <v>#VALUE!</v>
      </c>
      <c r="BJ117" s="50">
        <f t="shared" si="1230"/>
        <v>771.38461538461547</v>
      </c>
      <c r="BK117" s="64">
        <v>0.18</v>
      </c>
      <c r="BL117" s="50">
        <f t="shared" ref="BL117:BR117" si="1231">(BL107*4)+(BL106*2)</f>
        <v>10633.68</v>
      </c>
      <c r="BM117" s="50">
        <f t="shared" si="1231"/>
        <v>17419.846153846156</v>
      </c>
      <c r="BN117" s="50">
        <f t="shared" si="1231"/>
        <v>65892.461538461532</v>
      </c>
      <c r="BO117" s="50">
        <f t="shared" si="1231"/>
        <v>3786.9230769230771</v>
      </c>
      <c r="BP117" s="50">
        <f t="shared" si="1231"/>
        <v>62582.680769230763</v>
      </c>
      <c r="BQ117" s="50">
        <f t="shared" si="1231"/>
        <v>320</v>
      </c>
      <c r="BR117" s="50" t="e" vm="2">
        <f t="shared" si="1231"/>
        <v>#VALUE!</v>
      </c>
      <c r="BS117" s="26"/>
      <c r="BT117" s="50">
        <f t="shared" ref="BT117:BW117" si="1232">(BT107*4)+(BT106*2)</f>
        <v>33082.560000000005</v>
      </c>
      <c r="BU117" s="50">
        <f t="shared" si="1232"/>
        <v>337323.95999999996</v>
      </c>
      <c r="BV117" s="50">
        <f t="shared" si="1232"/>
        <v>43170.923076923078</v>
      </c>
      <c r="BW117" s="50">
        <f t="shared" si="1232"/>
        <v>21206.76923076923</v>
      </c>
      <c r="BX117" s="50"/>
      <c r="BY117" s="50">
        <f>(BY107*4)+(BY106*2)</f>
        <v>64</v>
      </c>
      <c r="BZ117" s="3"/>
      <c r="CA117" s="65">
        <f t="shared" si="1165"/>
        <v>741758.25600000005</v>
      </c>
      <c r="CB117" s="68">
        <v>15</v>
      </c>
      <c r="CC117" s="65">
        <f t="shared" si="1166"/>
        <v>886155</v>
      </c>
      <c r="CD117" s="66">
        <f t="shared" si="1167"/>
        <v>466.39118601297764</v>
      </c>
      <c r="CE117" s="67">
        <f t="shared" si="1168"/>
        <v>0.20047876198771347</v>
      </c>
      <c r="CF117" s="65" t="e">
        <f t="shared" si="1169"/>
        <v>#DIV/0!</v>
      </c>
      <c r="CG117" s="50">
        <f>(CG107*4)+(CG106*2)</f>
        <v>31167.061429437264</v>
      </c>
      <c r="CH117" s="68">
        <v>30</v>
      </c>
      <c r="CI117" s="65">
        <f t="shared" si="1170"/>
        <v>1772295</v>
      </c>
      <c r="CJ117" s="66">
        <f t="shared" si="1171"/>
        <v>932.78065969718818</v>
      </c>
      <c r="CK117" s="67">
        <f t="shared" si="1172"/>
        <v>0.21082685090849657</v>
      </c>
      <c r="CL117" s="65" t="e">
        <f t="shared" si="1173"/>
        <v>#DIV/0!</v>
      </c>
      <c r="CM117" s="50">
        <f>(CM107*4)+(CM106*2)</f>
        <v>32775.808011237743</v>
      </c>
      <c r="CN117" s="68">
        <v>70</v>
      </c>
      <c r="CO117" s="65">
        <f t="shared" si="1174"/>
        <v>4135335</v>
      </c>
      <c r="CP117" s="66">
        <f t="shared" si="1175"/>
        <v>2176.4859228550827</v>
      </c>
      <c r="CQ117" s="67">
        <f t="shared" si="1176"/>
        <v>0.26235897690088861</v>
      </c>
      <c r="CR117" s="65" t="e">
        <f t="shared" si="1177"/>
        <v>#DIV/0!</v>
      </c>
      <c r="CS117" s="50">
        <f>(CS107*4)+(CS106*2)</f>
        <v>40787.155051044465</v>
      </c>
      <c r="CT117" s="69">
        <v>3.05</v>
      </c>
      <c r="CU117" s="3"/>
      <c r="CV117" s="65">
        <f t="shared" si="1178"/>
        <v>741758.25600000005</v>
      </c>
      <c r="CW117" s="65">
        <v>15</v>
      </c>
      <c r="CX117" s="65">
        <f t="shared" si="1179"/>
        <v>886155</v>
      </c>
      <c r="CY117" s="66">
        <f t="shared" si="1180"/>
        <v>466.39118601297764</v>
      </c>
      <c r="CZ117" s="67">
        <f t="shared" si="1181"/>
        <v>1.4760226742742224</v>
      </c>
      <c r="DA117" s="65" t="e">
        <f t="shared" si="1182"/>
        <v>#DIV/0!</v>
      </c>
      <c r="DB117" s="50">
        <f>(DB107*4)+(DB106*2)</f>
        <v>229467.14606690517</v>
      </c>
      <c r="DC117" s="68">
        <v>30</v>
      </c>
      <c r="DD117" s="65">
        <f t="shared" si="1183"/>
        <v>1772295</v>
      </c>
      <c r="DE117" s="66">
        <f t="shared" si="1184"/>
        <v>932.78065969718818</v>
      </c>
      <c r="DF117" s="67">
        <f t="shared" si="1185"/>
        <v>1.4979684460396674</v>
      </c>
      <c r="DG117" s="65" t="e">
        <f t="shared" si="1186"/>
        <v>#DIV/0!</v>
      </c>
      <c r="DH117" s="50">
        <f>(DH107*4)+(DH106*2)</f>
        <v>232878.90504799839</v>
      </c>
      <c r="DI117" s="68">
        <v>70</v>
      </c>
      <c r="DJ117" s="65">
        <f t="shared" si="1187"/>
        <v>4135335</v>
      </c>
      <c r="DK117" s="66">
        <f t="shared" si="1188"/>
        <v>2176.4859228550827</v>
      </c>
      <c r="DL117" s="67">
        <f t="shared" si="1189"/>
        <v>1.5804151745893094</v>
      </c>
      <c r="DM117" s="65" t="e">
        <f t="shared" si="1190"/>
        <v>#DIV/0!</v>
      </c>
      <c r="DN117" s="50">
        <f>(DN107*4)+(DN106*2)</f>
        <v>245696.33382641588</v>
      </c>
      <c r="DO117" s="69">
        <v>3.9</v>
      </c>
      <c r="DP117" s="7"/>
      <c r="DQ117" s="65">
        <f t="shared" si="1191"/>
        <v>741758.25600000005</v>
      </c>
      <c r="DR117" s="65">
        <v>15</v>
      </c>
      <c r="DS117" s="65">
        <f t="shared" si="1192"/>
        <v>886155</v>
      </c>
      <c r="DT117" s="66">
        <f t="shared" si="1193"/>
        <v>466.39118601297764</v>
      </c>
      <c r="DU117" s="67">
        <f t="shared" si="1194"/>
        <v>0.1355991488538327</v>
      </c>
      <c r="DV117" s="65">
        <f t="shared" si="1195"/>
        <v>518.21242890330848</v>
      </c>
      <c r="DW117" s="50">
        <f>(DW107*4)+(DW106*2)</f>
        <v>39854.006555666769</v>
      </c>
      <c r="DX117" s="68">
        <v>30</v>
      </c>
      <c r="DY117" s="65">
        <f t="shared" si="1196"/>
        <v>1772295</v>
      </c>
      <c r="DZ117" s="66">
        <f t="shared" si="1197"/>
        <v>932.78065969718818</v>
      </c>
      <c r="EA117" s="67">
        <f t="shared" si="1198"/>
        <v>0.13712944001931227</v>
      </c>
      <c r="EB117" s="65">
        <f t="shared" si="1199"/>
        <v>1036.422955219098</v>
      </c>
      <c r="EC117" s="50">
        <f>(EC107*4)+(EC106*2)</f>
        <v>40303.775117317869</v>
      </c>
      <c r="ED117" s="68">
        <v>70</v>
      </c>
      <c r="EE117" s="65">
        <f t="shared" si="1200"/>
        <v>4135335</v>
      </c>
      <c r="EF117" s="66">
        <f t="shared" si="1201"/>
        <v>2176.4859228550827</v>
      </c>
      <c r="EG117" s="67">
        <f t="shared" si="1202"/>
        <v>0.15408162131646597</v>
      </c>
      <c r="EH117" s="65">
        <f t="shared" si="1203"/>
        <v>2418.3176920612027</v>
      </c>
      <c r="EI117" s="50">
        <f>(EI107*4)+(EI106*2)</f>
        <v>45286.198312893248</v>
      </c>
      <c r="EJ117" s="69">
        <v>3.9</v>
      </c>
    </row>
    <row r="118" spans="1:140">
      <c r="A118" s="48" t="str">
        <f t="shared" si="0"/>
        <v>BmSa</v>
      </c>
      <c r="B118" s="49">
        <v>612</v>
      </c>
      <c r="C118" s="48" t="s">
        <v>91</v>
      </c>
      <c r="D118" s="48" t="s">
        <v>81</v>
      </c>
      <c r="E118" s="48" t="s">
        <v>85</v>
      </c>
      <c r="F118" s="3"/>
      <c r="G118" s="50">
        <v>60000</v>
      </c>
      <c r="H118" s="50">
        <f t="shared" ref="H118:L118" si="1233">(H108*4)+(H106*2)</f>
        <v>48422</v>
      </c>
      <c r="I118" s="50">
        <f t="shared" si="1233"/>
        <v>5384</v>
      </c>
      <c r="J118" s="50">
        <f t="shared" si="1233"/>
        <v>3554</v>
      </c>
      <c r="K118" s="50">
        <f t="shared" si="1233"/>
        <v>2640</v>
      </c>
      <c r="L118" s="50">
        <f t="shared" si="1233"/>
        <v>15390</v>
      </c>
      <c r="M118" s="179"/>
      <c r="N118" s="107">
        <f t="shared" si="1137"/>
        <v>0.25650000000000001</v>
      </c>
      <c r="O118" s="52">
        <f t="shared" si="1138"/>
        <v>23676.923076923078</v>
      </c>
      <c r="P118" s="52">
        <f t="shared" si="1139"/>
        <v>18941.538461538465</v>
      </c>
      <c r="Q118" s="52">
        <f t="shared" si="1140"/>
        <v>9470.7692307692305</v>
      </c>
      <c r="R118" s="52">
        <f t="shared" si="1141"/>
        <v>7576.6153846153848</v>
      </c>
      <c r="S118" s="52">
        <f t="shared" si="4"/>
        <v>28412.307692307691</v>
      </c>
      <c r="T118" s="3"/>
      <c r="U118" s="58">
        <f t="shared" si="1142"/>
        <v>15390</v>
      </c>
      <c r="V118" s="56">
        <f t="shared" si="1143"/>
        <v>0.25650000000000001</v>
      </c>
      <c r="W118" s="110">
        <f t="shared" si="1144"/>
        <v>1.2825</v>
      </c>
      <c r="X118" s="3"/>
      <c r="Y118" s="57">
        <v>5</v>
      </c>
      <c r="Z118" s="58">
        <f t="shared" si="1145"/>
        <v>76950</v>
      </c>
      <c r="AA118" s="58">
        <f t="shared" si="1146"/>
        <v>61560</v>
      </c>
      <c r="AB118" s="58">
        <f t="shared" si="1147"/>
        <v>86420.769230769234</v>
      </c>
      <c r="AC118" s="50">
        <f>(AC108*4)+(AC106*2)</f>
        <v>73457.653846153844</v>
      </c>
      <c r="AD118" s="58">
        <f t="shared" si="1148"/>
        <v>61560</v>
      </c>
      <c r="AE118" s="58">
        <f t="shared" si="1149"/>
        <v>1973.0769230769233</v>
      </c>
      <c r="AF118" s="58">
        <f t="shared" si="1150"/>
        <v>59586.923076923078</v>
      </c>
      <c r="AG118" s="3"/>
      <c r="AH118" s="58">
        <f t="shared" si="1070"/>
        <v>15390</v>
      </c>
      <c r="AI118" s="50">
        <f t="shared" ref="AI118:AJ118" si="1234">AI106*2+AI108*4</f>
        <v>15390</v>
      </c>
      <c r="AJ118" s="58">
        <f t="shared" si="1234"/>
        <v>37920</v>
      </c>
      <c r="AK118" s="58">
        <f t="shared" si="1206"/>
        <v>68700</v>
      </c>
      <c r="AL118" s="58">
        <f>AL106*2+AL108*4</f>
        <v>234050</v>
      </c>
      <c r="AM118" s="59">
        <f t="shared" si="1152"/>
        <v>0.29352702414014098</v>
      </c>
      <c r="AN118" s="32"/>
      <c r="AO118" s="50">
        <f t="shared" ref="AO118:AP118" si="1235">AO106*2+AO108*4</f>
        <v>760</v>
      </c>
      <c r="AP118" s="115">
        <f t="shared" si="1235"/>
        <v>105</v>
      </c>
      <c r="AQ118" s="55">
        <f t="shared" si="1154"/>
        <v>865</v>
      </c>
      <c r="AR118" s="3"/>
      <c r="AS118" s="50">
        <f>(AS108*4)+(AS106*2)</f>
        <v>10</v>
      </c>
      <c r="AT118" s="3"/>
      <c r="AU118" s="58">
        <v>41</v>
      </c>
      <c r="AV118" s="58">
        <v>78</v>
      </c>
      <c r="AW118" s="58">
        <v>121</v>
      </c>
      <c r="AX118" s="62">
        <f>AX106*2+AX108*4</f>
        <v>1501.4634146341464</v>
      </c>
      <c r="AY118" s="62">
        <f t="shared" si="1155"/>
        <v>789.23076923076928</v>
      </c>
      <c r="AZ118" s="62">
        <f t="shared" si="1156"/>
        <v>10.25</v>
      </c>
      <c r="BA118" s="62">
        <f t="shared" si="1157"/>
        <v>19.5</v>
      </c>
      <c r="BB118" s="3"/>
      <c r="BC118" s="58" t="s">
        <v>89</v>
      </c>
      <c r="BD118" s="58">
        <f t="shared" si="1158"/>
        <v>15390</v>
      </c>
      <c r="BE118" s="50">
        <f t="shared" ref="BE118:BF118" si="1236">(BE108*4)+(BE106*2)</f>
        <v>65241.038461538461</v>
      </c>
      <c r="BF118" s="50" t="e" vm="2">
        <f t="shared" si="1236"/>
        <v>#VALUE!</v>
      </c>
      <c r="BG118" s="58" t="e" vm="2">
        <f t="shared" si="1160"/>
        <v>#VALUE!</v>
      </c>
      <c r="BH118" s="58">
        <f t="shared" si="1161"/>
        <v>9470.7692307692305</v>
      </c>
      <c r="BI118" s="50" t="e" vm="2">
        <f t="shared" ref="BI118:BJ118" si="1237">(BI108*4)+(BI106*2)</f>
        <v>#VALUE!</v>
      </c>
      <c r="BJ118" s="50">
        <f t="shared" si="1237"/>
        <v>809.23076923076928</v>
      </c>
      <c r="BK118" s="64">
        <v>0.18</v>
      </c>
      <c r="BL118" s="50">
        <f t="shared" ref="BL118:BR118" si="1238">(BL108*4)+(BL106*2)</f>
        <v>11080.8</v>
      </c>
      <c r="BM118" s="50">
        <f t="shared" si="1238"/>
        <v>18152.307692307695</v>
      </c>
      <c r="BN118" s="50">
        <f t="shared" si="1238"/>
        <v>68663.076923076922</v>
      </c>
      <c r="BO118" s="50">
        <f t="shared" si="1238"/>
        <v>3946.1538461538462</v>
      </c>
      <c r="BP118" s="50">
        <f t="shared" si="1238"/>
        <v>65241.038461538461</v>
      </c>
      <c r="BQ118" s="50">
        <f t="shared" si="1238"/>
        <v>320</v>
      </c>
      <c r="BR118" s="50" t="e" vm="2">
        <f t="shared" si="1238"/>
        <v>#VALUE!</v>
      </c>
      <c r="BS118" s="26"/>
      <c r="BT118" s="50">
        <f t="shared" ref="BT118:BW118" si="1239">(BT108*4)+(BT106*2)</f>
        <v>34473.600000000006</v>
      </c>
      <c r="BU118" s="50">
        <f t="shared" si="1239"/>
        <v>351507.6</v>
      </c>
      <c r="BV118" s="50">
        <f t="shared" si="1239"/>
        <v>44986.153846153844</v>
      </c>
      <c r="BW118" s="50">
        <f t="shared" si="1239"/>
        <v>22098.461538461539</v>
      </c>
      <c r="BX118" s="50"/>
      <c r="BY118" s="50">
        <f>(BY108*4)+(BY106*2)</f>
        <v>64</v>
      </c>
      <c r="BZ118" s="3"/>
      <c r="CA118" s="65">
        <f t="shared" si="1165"/>
        <v>772947.36</v>
      </c>
      <c r="CB118" s="68">
        <v>15</v>
      </c>
      <c r="CC118" s="65">
        <f t="shared" si="1166"/>
        <v>923415</v>
      </c>
      <c r="CD118" s="66">
        <f t="shared" si="1167"/>
        <v>486.0017123287671</v>
      </c>
      <c r="CE118" s="67">
        <f t="shared" si="1168"/>
        <v>0.20199932266350448</v>
      </c>
      <c r="CF118" s="65" t="e">
        <f t="shared" si="1169"/>
        <v>#DIV/0!</v>
      </c>
      <c r="CG118" s="50">
        <f>(CG108*4)+(CG106*2)</f>
        <v>32723.890271487726</v>
      </c>
      <c r="CH118" s="68">
        <v>30</v>
      </c>
      <c r="CI118" s="65">
        <f t="shared" si="1170"/>
        <v>1846815</v>
      </c>
      <c r="CJ118" s="66">
        <f t="shared" si="1171"/>
        <v>972.0017123287671</v>
      </c>
      <c r="CK118" s="67">
        <f t="shared" si="1172"/>
        <v>0.21256441682308203</v>
      </c>
      <c r="CL118" s="65" t="e">
        <f t="shared" si="1173"/>
        <v>#DIV/0!</v>
      </c>
      <c r="CM118" s="50">
        <f>(CM108*4)+(CM106*2)</f>
        <v>34435.435525339286</v>
      </c>
      <c r="CN118" s="68">
        <v>70</v>
      </c>
      <c r="CO118" s="65">
        <f t="shared" si="1174"/>
        <v>4309215</v>
      </c>
      <c r="CP118" s="66">
        <f t="shared" si="1175"/>
        <v>2268.0017123287671</v>
      </c>
      <c r="CQ118" s="67">
        <f t="shared" si="1176"/>
        <v>0.26517720053773086</v>
      </c>
      <c r="CR118" s="65" t="e">
        <f t="shared" si="1177"/>
        <v>#DIV/0!</v>
      </c>
      <c r="CS118" s="50">
        <f>(CS108*4)+(CS106*2)</f>
        <v>42958.706487112402</v>
      </c>
      <c r="CT118" s="69">
        <v>3.05</v>
      </c>
      <c r="CU118" s="3"/>
      <c r="CV118" s="65">
        <f t="shared" si="1178"/>
        <v>772947.36</v>
      </c>
      <c r="CW118" s="65">
        <v>15</v>
      </c>
      <c r="CX118" s="65">
        <f t="shared" si="1179"/>
        <v>923415</v>
      </c>
      <c r="CY118" s="66">
        <f t="shared" si="1180"/>
        <v>486.0017123287671</v>
      </c>
      <c r="CZ118" s="67">
        <f t="shared" si="1181"/>
        <v>1.4772125563238756</v>
      </c>
      <c r="DA118" s="65" t="e">
        <f t="shared" si="1182"/>
        <v>#DIV/0!</v>
      </c>
      <c r="DB118" s="50">
        <f>(DB108*4)+(DB106*2)</f>
        <v>239308.43412446789</v>
      </c>
      <c r="DC118" s="68">
        <v>30</v>
      </c>
      <c r="DD118" s="65">
        <f t="shared" si="1183"/>
        <v>1846815</v>
      </c>
      <c r="DE118" s="66">
        <f t="shared" si="1184"/>
        <v>972.0017123287671</v>
      </c>
      <c r="DF118" s="67">
        <f t="shared" si="1185"/>
        <v>1.4996185432893545</v>
      </c>
      <c r="DG118" s="65" t="e">
        <f t="shared" si="1186"/>
        <v>#DIV/0!</v>
      </c>
      <c r="DH118" s="50">
        <f>(DH108*4)+(DH106*2)</f>
        <v>242938.20401287547</v>
      </c>
      <c r="DI118" s="68">
        <v>70</v>
      </c>
      <c r="DJ118" s="65">
        <f t="shared" si="1187"/>
        <v>4309215</v>
      </c>
      <c r="DK118" s="66">
        <f t="shared" si="1188"/>
        <v>2268.0017123287671</v>
      </c>
      <c r="DL118" s="67">
        <f t="shared" si="1189"/>
        <v>1.5837942262051745</v>
      </c>
      <c r="DM118" s="65" t="e">
        <f t="shared" si="1190"/>
        <v>#DIV/0!</v>
      </c>
      <c r="DN118" s="50">
        <f>(DN108*4)+(DN106*2)</f>
        <v>256574.66464523826</v>
      </c>
      <c r="DO118" s="69">
        <v>3.9</v>
      </c>
      <c r="DP118" s="7"/>
      <c r="DQ118" s="65">
        <f t="shared" si="1191"/>
        <v>772947.36</v>
      </c>
      <c r="DR118" s="65">
        <v>15</v>
      </c>
      <c r="DS118" s="65">
        <f t="shared" si="1192"/>
        <v>923415</v>
      </c>
      <c r="DT118" s="66">
        <f t="shared" si="1193"/>
        <v>486.0017123287671</v>
      </c>
      <c r="DU118" s="67">
        <f t="shared" si="1194"/>
        <v>0.13702586370016709</v>
      </c>
      <c r="DV118" s="65">
        <f t="shared" si="1195"/>
        <v>540.001902587519</v>
      </c>
      <c r="DW118" s="50">
        <f>(DW108*4)+(DW106*2)</f>
        <v>41966.727210857149</v>
      </c>
      <c r="DX118" s="68">
        <v>30</v>
      </c>
      <c r="DY118" s="65">
        <f t="shared" si="1196"/>
        <v>1846815</v>
      </c>
      <c r="DZ118" s="66">
        <f t="shared" si="1197"/>
        <v>972.0017123287671</v>
      </c>
      <c r="EA118" s="67">
        <f t="shared" si="1198"/>
        <v>0.13859177347743162</v>
      </c>
      <c r="EB118" s="65">
        <f t="shared" si="1199"/>
        <v>1080.001902587519</v>
      </c>
      <c r="EC118" s="50">
        <f>(EC108*4)+(EC106*2)</f>
        <v>42446.316294879056</v>
      </c>
      <c r="ED118" s="68">
        <v>70</v>
      </c>
      <c r="EE118" s="65">
        <f t="shared" si="1200"/>
        <v>4309215</v>
      </c>
      <c r="EF118" s="66">
        <f t="shared" si="1201"/>
        <v>2268.0017123287671</v>
      </c>
      <c r="EG118" s="67">
        <f t="shared" si="1202"/>
        <v>0.15590943162769602</v>
      </c>
      <c r="EH118" s="65">
        <f t="shared" si="1203"/>
        <v>2520.001902587519</v>
      </c>
      <c r="EI118" s="50">
        <f>(EI108*4)+(EI106*2)</f>
        <v>47750.172194034662</v>
      </c>
      <c r="EJ118" s="69">
        <v>3.9</v>
      </c>
    </row>
    <row r="119" spans="1:140">
      <c r="A119" s="70" t="str">
        <f t="shared" si="0"/>
        <v>BhGi</v>
      </c>
      <c r="B119" s="71">
        <v>620</v>
      </c>
      <c r="C119" s="70" t="s">
        <v>91</v>
      </c>
      <c r="D119" s="70" t="s">
        <v>82</v>
      </c>
      <c r="E119" s="70" t="s">
        <v>83</v>
      </c>
      <c r="F119" s="3"/>
      <c r="G119" s="72">
        <v>60000</v>
      </c>
      <c r="H119" s="72">
        <f t="shared" ref="H119:L119" si="1240">H109*6</f>
        <v>43350</v>
      </c>
      <c r="I119" s="72">
        <f t="shared" si="1240"/>
        <v>6984</v>
      </c>
      <c r="J119" s="72">
        <f t="shared" si="1240"/>
        <v>5586</v>
      </c>
      <c r="K119" s="72">
        <f t="shared" si="1240"/>
        <v>4080</v>
      </c>
      <c r="L119" s="72">
        <f t="shared" si="1240"/>
        <v>21222</v>
      </c>
      <c r="M119" s="123"/>
      <c r="N119" s="91">
        <f t="shared" si="1137"/>
        <v>0.35370000000000001</v>
      </c>
      <c r="O119" s="124">
        <f t="shared" si="1138"/>
        <v>39179.076923076922</v>
      </c>
      <c r="P119" s="124">
        <f t="shared" si="1139"/>
        <v>31343.261538461538</v>
      </c>
      <c r="Q119" s="124">
        <f t="shared" si="1140"/>
        <v>15671.630769230769</v>
      </c>
      <c r="R119" s="124">
        <f t="shared" si="1141"/>
        <v>12537.304615384615</v>
      </c>
      <c r="S119" s="72">
        <f t="shared" si="4"/>
        <v>47014.892307692309</v>
      </c>
      <c r="T119" s="3"/>
      <c r="U119" s="77">
        <f t="shared" si="1142"/>
        <v>21222</v>
      </c>
      <c r="V119" s="78">
        <f t="shared" si="1143"/>
        <v>0.35370000000000001</v>
      </c>
      <c r="W119" s="111">
        <f t="shared" si="1144"/>
        <v>2.1221999999999999</v>
      </c>
      <c r="X119" s="3"/>
      <c r="Y119" s="79">
        <v>6</v>
      </c>
      <c r="Z119" s="77">
        <f t="shared" si="1145"/>
        <v>127332</v>
      </c>
      <c r="AA119" s="77">
        <f t="shared" si="1146"/>
        <v>101865.60000000001</v>
      </c>
      <c r="AB119" s="77">
        <f t="shared" si="1147"/>
        <v>143003.63076923077</v>
      </c>
      <c r="AC119" s="72">
        <f>AC109*6</f>
        <v>121553.08615384615</v>
      </c>
      <c r="AD119" s="77">
        <f t="shared" si="1148"/>
        <v>101865.60000000001</v>
      </c>
      <c r="AE119" s="77">
        <f t="shared" si="1149"/>
        <v>3264.9230769230771</v>
      </c>
      <c r="AF119" s="77">
        <f t="shared" si="1150"/>
        <v>98600.676923076928</v>
      </c>
      <c r="AG119" s="3"/>
      <c r="AH119" s="77">
        <f t="shared" si="1070"/>
        <v>21222</v>
      </c>
      <c r="AI119" s="72">
        <f t="shared" ref="AI119:AL119" si="1241">AI109*6</f>
        <v>21222</v>
      </c>
      <c r="AJ119" s="77">
        <f t="shared" si="1241"/>
        <v>56592</v>
      </c>
      <c r="AK119" s="77">
        <f t="shared" si="1241"/>
        <v>99036</v>
      </c>
      <c r="AL119" s="77">
        <f t="shared" si="1241"/>
        <v>381996</v>
      </c>
      <c r="AM119" s="80">
        <f t="shared" si="1152"/>
        <v>0.25925925925925924</v>
      </c>
      <c r="AN119" s="32"/>
      <c r="AO119" s="72">
        <f t="shared" ref="AO119:AP119" si="1242">AO109*6</f>
        <v>1200</v>
      </c>
      <c r="AP119" s="116">
        <f t="shared" si="1242"/>
        <v>63</v>
      </c>
      <c r="AQ119" s="82">
        <f t="shared" si="1154"/>
        <v>1263</v>
      </c>
      <c r="AR119" s="3"/>
      <c r="AS119" s="72">
        <f>AS109*6</f>
        <v>6</v>
      </c>
      <c r="AT119" s="3"/>
      <c r="AU119" s="77">
        <v>41</v>
      </c>
      <c r="AV119" s="77">
        <v>78</v>
      </c>
      <c r="AW119" s="77">
        <v>121</v>
      </c>
      <c r="AX119" s="83">
        <f>AX109*6</f>
        <v>2484.5268292682931</v>
      </c>
      <c r="AY119" s="83">
        <f t="shared" si="1155"/>
        <v>1305.9692307692308</v>
      </c>
      <c r="AZ119" s="83">
        <f t="shared" si="1156"/>
        <v>8.5416666666666661</v>
      </c>
      <c r="BA119" s="83">
        <f t="shared" si="1157"/>
        <v>16.25</v>
      </c>
      <c r="BB119" s="3"/>
      <c r="BC119" s="77" t="s">
        <v>89</v>
      </c>
      <c r="BD119" s="77">
        <f t="shared" si="1158"/>
        <v>21222</v>
      </c>
      <c r="BE119" s="72">
        <f t="shared" ref="BE119:BF119" si="1243">BE109*6</f>
        <v>107863.78153846154</v>
      </c>
      <c r="BF119" s="72" t="e" vm="2">
        <f t="shared" si="1243"/>
        <v>#VALUE!</v>
      </c>
      <c r="BG119" s="77" t="e" vm="2">
        <f t="shared" si="1160"/>
        <v>#VALUE!</v>
      </c>
      <c r="BH119" s="77">
        <f t="shared" si="1161"/>
        <v>15671.630769230769</v>
      </c>
      <c r="BI119" s="72" t="e" vm="2">
        <f t="shared" ref="BI119:BJ119" si="1244">BI109*6</f>
        <v>#VALUE!</v>
      </c>
      <c r="BJ119" s="72">
        <f t="shared" si="1244"/>
        <v>1317.969230769231</v>
      </c>
      <c r="BK119" s="85">
        <v>0.18</v>
      </c>
      <c r="BL119" s="72">
        <f t="shared" ref="BL119:BR119" si="1245">BL109*6</f>
        <v>18335.808000000001</v>
      </c>
      <c r="BM119" s="72">
        <f t="shared" si="1245"/>
        <v>30037.292307692311</v>
      </c>
      <c r="BN119" s="72">
        <f t="shared" si="1245"/>
        <v>113619.32307692309</v>
      </c>
      <c r="BO119" s="72">
        <f t="shared" si="1245"/>
        <v>6529.8461538461543</v>
      </c>
      <c r="BP119" s="72">
        <f t="shared" si="1245"/>
        <v>107863.78153846154</v>
      </c>
      <c r="BQ119" s="72">
        <f t="shared" si="1245"/>
        <v>576</v>
      </c>
      <c r="BR119" s="72" t="e" vm="2">
        <f t="shared" si="1245"/>
        <v>#VALUE!</v>
      </c>
      <c r="BS119" s="26"/>
      <c r="BT119" s="72">
        <f t="shared" ref="BT119:BW119" si="1246">BT109*6</f>
        <v>57044.736000000012</v>
      </c>
      <c r="BU119" s="72">
        <f t="shared" si="1246"/>
        <v>581652.576</v>
      </c>
      <c r="BV119" s="72">
        <f t="shared" si="1246"/>
        <v>74440.246153846165</v>
      </c>
      <c r="BW119" s="72">
        <f t="shared" si="1246"/>
        <v>36567.138461538474</v>
      </c>
      <c r="BX119" s="72"/>
      <c r="BY119" s="72">
        <f>BY109*6</f>
        <v>96</v>
      </c>
      <c r="BZ119" s="3"/>
      <c r="CA119" s="86">
        <f t="shared" si="1165"/>
        <v>1279024.4736000001</v>
      </c>
      <c r="CB119" s="89">
        <v>15</v>
      </c>
      <c r="CC119" s="86">
        <f t="shared" si="1166"/>
        <v>1527999</v>
      </c>
      <c r="CD119" s="87">
        <f t="shared" si="1167"/>
        <v>804.20381759192503</v>
      </c>
      <c r="CE119" s="88">
        <f t="shared" si="1168"/>
        <v>0.19560965321071153</v>
      </c>
      <c r="CF119" s="86" t="e">
        <f t="shared" si="1169"/>
        <v>#DIV/0!</v>
      </c>
      <c r="CG119" s="72">
        <f>CG109*6</f>
        <v>52436.564973950146</v>
      </c>
      <c r="CH119" s="89">
        <v>30</v>
      </c>
      <c r="CI119" s="86">
        <f t="shared" si="1170"/>
        <v>3055983</v>
      </c>
      <c r="CJ119" s="87">
        <f t="shared" si="1171"/>
        <v>1608.405922855083</v>
      </c>
      <c r="CK119" s="88">
        <f t="shared" si="1172"/>
        <v>0.21962044564335767</v>
      </c>
      <c r="CL119" s="86" t="e">
        <f t="shared" si="1173"/>
        <v>#DIV/0!</v>
      </c>
      <c r="CM119" s="72">
        <f>CM109*6</f>
        <v>58873.074915073725</v>
      </c>
      <c r="CN119" s="89">
        <v>70</v>
      </c>
      <c r="CO119" s="86">
        <f t="shared" si="1174"/>
        <v>7130607</v>
      </c>
      <c r="CP119" s="87">
        <f t="shared" si="1175"/>
        <v>3752.944870223504</v>
      </c>
      <c r="CQ119" s="88">
        <f t="shared" si="1176"/>
        <v>0.25631932401699425</v>
      </c>
      <c r="CR119" s="86" t="e">
        <f t="shared" si="1177"/>
        <v>#DIV/0!</v>
      </c>
      <c r="CS119" s="72">
        <f>CS109*6</f>
        <v>68710.846664698765</v>
      </c>
      <c r="CT119" s="90">
        <v>3.05</v>
      </c>
      <c r="CU119" s="3"/>
      <c r="CV119" s="86">
        <f t="shared" si="1178"/>
        <v>1279024.4736000001</v>
      </c>
      <c r="CW119" s="86">
        <v>15</v>
      </c>
      <c r="CX119" s="86">
        <f t="shared" si="1179"/>
        <v>1527999</v>
      </c>
      <c r="CY119" s="87">
        <f t="shared" si="1180"/>
        <v>804.20381759192503</v>
      </c>
      <c r="CZ119" s="88">
        <f t="shared" si="1181"/>
        <v>1.2910407836109903</v>
      </c>
      <c r="DA119" s="86" t="e">
        <f t="shared" si="1182"/>
        <v>#DIV/0!</v>
      </c>
      <c r="DB119" s="72">
        <f>DB109*6</f>
        <v>346085.90538685187</v>
      </c>
      <c r="DC119" s="89">
        <v>30</v>
      </c>
      <c r="DD119" s="86">
        <f t="shared" si="1183"/>
        <v>3055983</v>
      </c>
      <c r="DE119" s="87">
        <f t="shared" si="1184"/>
        <v>1608.405922855083</v>
      </c>
      <c r="DF119" s="88">
        <f t="shared" si="1185"/>
        <v>1.3267417609328827</v>
      </c>
      <c r="DG119" s="86" t="e">
        <f t="shared" si="1186"/>
        <v>#DIV/0!</v>
      </c>
      <c r="DH119" s="72">
        <f>DH109*6</f>
        <v>355656.17242759123</v>
      </c>
      <c r="DI119" s="89">
        <v>70</v>
      </c>
      <c r="DJ119" s="86">
        <f t="shared" si="1187"/>
        <v>7130607</v>
      </c>
      <c r="DK119" s="87">
        <f t="shared" si="1188"/>
        <v>3752.944870223504</v>
      </c>
      <c r="DL119" s="88">
        <f t="shared" si="1189"/>
        <v>1.3945618071959287</v>
      </c>
      <c r="DM119" s="86" t="e">
        <f t="shared" si="1190"/>
        <v>#DIV/0!</v>
      </c>
      <c r="DN119" s="72">
        <f>DN109*6</f>
        <v>373836.51375551999</v>
      </c>
      <c r="DO119" s="90">
        <v>3.9</v>
      </c>
      <c r="DP119" s="7"/>
      <c r="DQ119" s="86">
        <f t="shared" si="1191"/>
        <v>1279024.4736000001</v>
      </c>
      <c r="DR119" s="86">
        <v>15</v>
      </c>
      <c r="DS119" s="86">
        <f t="shared" si="1192"/>
        <v>1527999</v>
      </c>
      <c r="DT119" s="87">
        <f t="shared" si="1193"/>
        <v>804.20381759192503</v>
      </c>
      <c r="DU119" s="88">
        <f t="shared" si="1194"/>
        <v>0.1286430564073722</v>
      </c>
      <c r="DV119" s="86">
        <f t="shared" si="1195"/>
        <v>893.55979732436117</v>
      </c>
      <c r="DW119" s="72">
        <f>DW109*6</f>
        <v>65195.532969009029</v>
      </c>
      <c r="DX119" s="89">
        <v>30</v>
      </c>
      <c r="DY119" s="86">
        <f t="shared" si="1196"/>
        <v>3055983</v>
      </c>
      <c r="DZ119" s="87">
        <f t="shared" si="1197"/>
        <v>1608.405922855083</v>
      </c>
      <c r="EA119" s="88">
        <f t="shared" si="1198"/>
        <v>0.13874539397798796</v>
      </c>
      <c r="EB119" s="86">
        <f t="shared" si="1199"/>
        <v>1787.1176920612033</v>
      </c>
      <c r="EC119" s="72">
        <f>EC109*6</f>
        <v>70315.337337333985</v>
      </c>
      <c r="ED119" s="89">
        <v>70</v>
      </c>
      <c r="EE119" s="86">
        <f t="shared" si="1200"/>
        <v>7130607</v>
      </c>
      <c r="EF119" s="87">
        <f t="shared" si="1201"/>
        <v>3752.944870223504</v>
      </c>
      <c r="EG119" s="88">
        <f t="shared" si="1202"/>
        <v>0.14930746819684068</v>
      </c>
      <c r="EH119" s="86">
        <f t="shared" si="1203"/>
        <v>4169.9387446927822</v>
      </c>
      <c r="EI119" s="72">
        <f>EI109*6</f>
        <v>75668.133494289024</v>
      </c>
      <c r="EJ119" s="90">
        <v>3.9</v>
      </c>
    </row>
    <row r="120" spans="1:140">
      <c r="A120" s="70" t="str">
        <f t="shared" si="0"/>
        <v>BhSc</v>
      </c>
      <c r="B120" s="71">
        <v>621</v>
      </c>
      <c r="C120" s="70" t="s">
        <v>91</v>
      </c>
      <c r="D120" s="70" t="s">
        <v>82</v>
      </c>
      <c r="E120" s="70" t="s">
        <v>84</v>
      </c>
      <c r="F120" s="3"/>
      <c r="G120" s="72">
        <v>60000</v>
      </c>
      <c r="H120" s="72">
        <f t="shared" ref="H120:L120" si="1247">(H110*4)+(H109*2)</f>
        <v>48450</v>
      </c>
      <c r="I120" s="72">
        <f t="shared" si="1247"/>
        <v>4728</v>
      </c>
      <c r="J120" s="72">
        <f t="shared" si="1247"/>
        <v>4102</v>
      </c>
      <c r="K120" s="72">
        <f t="shared" si="1247"/>
        <v>2720</v>
      </c>
      <c r="L120" s="72">
        <f t="shared" si="1247"/>
        <v>14769</v>
      </c>
      <c r="M120" s="183"/>
      <c r="N120" s="91">
        <f t="shared" si="1137"/>
        <v>0.24615000000000001</v>
      </c>
      <c r="O120" s="124">
        <f t="shared" si="1138"/>
        <v>27265.846153846152</v>
      </c>
      <c r="P120" s="124">
        <f t="shared" si="1139"/>
        <v>21812.676923076924</v>
      </c>
      <c r="Q120" s="124">
        <f t="shared" si="1140"/>
        <v>10906.33846153846</v>
      </c>
      <c r="R120" s="124">
        <f t="shared" si="1141"/>
        <v>8725.0707692307678</v>
      </c>
      <c r="S120" s="72">
        <f t="shared" si="4"/>
        <v>32719.015384615381</v>
      </c>
      <c r="T120" s="3"/>
      <c r="U120" s="77">
        <f t="shared" si="1142"/>
        <v>14769</v>
      </c>
      <c r="V120" s="78">
        <f t="shared" si="1143"/>
        <v>0.24615000000000001</v>
      </c>
      <c r="W120" s="111">
        <f t="shared" si="1144"/>
        <v>1.4769000000000001</v>
      </c>
      <c r="X120" s="3"/>
      <c r="Y120" s="79">
        <v>6</v>
      </c>
      <c r="Z120" s="77">
        <f t="shared" si="1145"/>
        <v>88614</v>
      </c>
      <c r="AA120" s="77">
        <f t="shared" si="1146"/>
        <v>70891.199999999997</v>
      </c>
      <c r="AB120" s="77">
        <f t="shared" si="1147"/>
        <v>99520.338461538457</v>
      </c>
      <c r="AC120" s="72">
        <f>(AC110*4)+(AC109*2)</f>
        <v>84592.287692307698</v>
      </c>
      <c r="AD120" s="77">
        <f t="shared" si="1148"/>
        <v>70891.199999999997</v>
      </c>
      <c r="AE120" s="77">
        <f t="shared" si="1149"/>
        <v>2272.1538461538462</v>
      </c>
      <c r="AF120" s="77">
        <f t="shared" si="1150"/>
        <v>68619.046153846153</v>
      </c>
      <c r="AG120" s="3"/>
      <c r="AH120" s="77">
        <f t="shared" si="1070"/>
        <v>14769</v>
      </c>
      <c r="AI120" s="73">
        <f t="shared" ref="AI120:AJ120" si="1248">AI109*2+AI110*4</f>
        <v>14769</v>
      </c>
      <c r="AJ120" s="77">
        <f t="shared" si="1248"/>
        <v>41616</v>
      </c>
      <c r="AK120" s="77">
        <f t="shared" ref="AK120:AK121" si="1249">SUM(AH120:AJ120)</f>
        <v>71154</v>
      </c>
      <c r="AL120" s="77">
        <f>AL109*2+AL110*4</f>
        <v>265842</v>
      </c>
      <c r="AM120" s="80">
        <f t="shared" si="1152"/>
        <v>0.26765522377953821</v>
      </c>
      <c r="AN120" s="32"/>
      <c r="AO120" s="72">
        <f t="shared" ref="AO120:AP120" si="1250">AO109*2+AO110*4</f>
        <v>800</v>
      </c>
      <c r="AP120" s="116">
        <f t="shared" si="1250"/>
        <v>73.5</v>
      </c>
      <c r="AQ120" s="82">
        <f t="shared" si="1154"/>
        <v>873.5</v>
      </c>
      <c r="AR120" s="3"/>
      <c r="AS120" s="72">
        <f>(AS110*4)+(AS109*2)</f>
        <v>7</v>
      </c>
      <c r="AT120" s="3"/>
      <c r="AU120" s="77">
        <v>41</v>
      </c>
      <c r="AV120" s="77">
        <v>78</v>
      </c>
      <c r="AW120" s="77">
        <v>121</v>
      </c>
      <c r="AX120" s="83">
        <f>AX109*2+AX110*4</f>
        <v>1729.0536585365853</v>
      </c>
      <c r="AY120" s="83">
        <f t="shared" si="1155"/>
        <v>908.86153846153843</v>
      </c>
      <c r="AZ120" s="83">
        <f t="shared" si="1156"/>
        <v>8.5416666666666661</v>
      </c>
      <c r="BA120" s="83">
        <f t="shared" si="1157"/>
        <v>16.25</v>
      </c>
      <c r="BB120" s="3"/>
      <c r="BC120" s="77" t="s">
        <v>89</v>
      </c>
      <c r="BD120" s="77">
        <f t="shared" si="1158"/>
        <v>14769</v>
      </c>
      <c r="BE120" s="72">
        <f t="shared" ref="BE120:BF120" si="1251">(BE110*4)+(BE109*2)</f>
        <v>75099.216923076921</v>
      </c>
      <c r="BF120" s="72" t="e" vm="2">
        <f t="shared" si="1251"/>
        <v>#VALUE!</v>
      </c>
      <c r="BG120" s="77" t="e" vm="2">
        <f t="shared" si="1160"/>
        <v>#VALUE!</v>
      </c>
      <c r="BH120" s="77">
        <f t="shared" si="1161"/>
        <v>10906.33846153846</v>
      </c>
      <c r="BI120" s="72" t="e" vm="2">
        <f t="shared" ref="BI120:BJ120" si="1252">(BI110*4)+(BI109*2)</f>
        <v>#VALUE!</v>
      </c>
      <c r="BJ120" s="72">
        <f t="shared" si="1252"/>
        <v>922.86153846153854</v>
      </c>
      <c r="BK120" s="85">
        <v>0.18</v>
      </c>
      <c r="BL120" s="72">
        <f t="shared" ref="BL120:BR120" si="1253">(BL110*4)+(BL109*2)</f>
        <v>12760.416000000001</v>
      </c>
      <c r="BM120" s="72">
        <f t="shared" si="1253"/>
        <v>20903.815384615387</v>
      </c>
      <c r="BN120" s="72">
        <f t="shared" si="1253"/>
        <v>79070.953846153861</v>
      </c>
      <c r="BO120" s="72">
        <f t="shared" si="1253"/>
        <v>4544.3076923076924</v>
      </c>
      <c r="BP120" s="72">
        <f t="shared" si="1253"/>
        <v>75099.216923076921</v>
      </c>
      <c r="BQ120" s="72">
        <f t="shared" si="1253"/>
        <v>384</v>
      </c>
      <c r="BR120" s="72" t="e" vm="2">
        <f t="shared" si="1253"/>
        <v>#VALUE!</v>
      </c>
      <c r="BS120" s="26"/>
      <c r="BT120" s="72">
        <f t="shared" ref="BT120:BW120" si="1254">(BT110*4)+(BT109*2)</f>
        <v>39699.072000000007</v>
      </c>
      <c r="BU120" s="72">
        <f t="shared" si="1254"/>
        <v>404788.75199999998</v>
      </c>
      <c r="BV120" s="72">
        <f t="shared" si="1254"/>
        <v>51805.107692307698</v>
      </c>
      <c r="BW120" s="72">
        <f t="shared" si="1254"/>
        <v>25448.123076923082</v>
      </c>
      <c r="BX120" s="72"/>
      <c r="BY120" s="72">
        <f>(BY110*4)+(BY109*2)</f>
        <v>64</v>
      </c>
      <c r="BZ120" s="3"/>
      <c r="CA120" s="86">
        <f t="shared" si="1165"/>
        <v>890109.9071999999</v>
      </c>
      <c r="CB120" s="89">
        <v>15</v>
      </c>
      <c r="CC120" s="86">
        <f t="shared" si="1166"/>
        <v>1063383</v>
      </c>
      <c r="CD120" s="87">
        <f t="shared" si="1167"/>
        <v>559.66908074981973</v>
      </c>
      <c r="CE120" s="88">
        <f t="shared" si="1168"/>
        <v>0.19621389662274838</v>
      </c>
      <c r="CF120" s="86" t="e">
        <f t="shared" si="1169"/>
        <v>#DIV/0!</v>
      </c>
      <c r="CG120" s="72">
        <f>(CG110*4)+(CG109*2)</f>
        <v>36604.838390164681</v>
      </c>
      <c r="CH120" s="89">
        <v>30</v>
      </c>
      <c r="CI120" s="86">
        <f t="shared" si="1170"/>
        <v>2126751</v>
      </c>
      <c r="CJ120" s="87">
        <f t="shared" si="1171"/>
        <v>1119.3364491708724</v>
      </c>
      <c r="CK120" s="88">
        <f t="shared" si="1172"/>
        <v>0.22038866294974321</v>
      </c>
      <c r="CL120" s="86" t="e">
        <f t="shared" si="1173"/>
        <v>#DIV/0!</v>
      </c>
      <c r="CM120" s="72">
        <f>(CM110*4)+(CM109*2)</f>
        <v>41114.781007639045</v>
      </c>
      <c r="CN120" s="89">
        <v>70</v>
      </c>
      <c r="CO120" s="86">
        <f t="shared" si="1174"/>
        <v>4962399</v>
      </c>
      <c r="CP120" s="87">
        <f t="shared" si="1175"/>
        <v>2611.782764960346</v>
      </c>
      <c r="CQ120" s="88">
        <f t="shared" si="1176"/>
        <v>0.25736093517790209</v>
      </c>
      <c r="CR120" s="86" t="e">
        <f t="shared" si="1177"/>
        <v>#DIV/0!</v>
      </c>
      <c r="CS120" s="72">
        <f>(CS110*4)+(CS109*2)</f>
        <v>48012.172441799179</v>
      </c>
      <c r="CT120" s="90">
        <v>3.05</v>
      </c>
      <c r="CU120" s="3"/>
      <c r="CV120" s="86">
        <f t="shared" si="1178"/>
        <v>890109.9071999999</v>
      </c>
      <c r="CW120" s="86">
        <v>15</v>
      </c>
      <c r="CX120" s="86">
        <f t="shared" si="1179"/>
        <v>1063383</v>
      </c>
      <c r="CY120" s="87">
        <f t="shared" si="1180"/>
        <v>559.66908074981973</v>
      </c>
      <c r="CZ120" s="88">
        <f t="shared" si="1181"/>
        <v>1.2916833642786198</v>
      </c>
      <c r="DA120" s="86" t="e">
        <f t="shared" si="1182"/>
        <v>#DIV/0!</v>
      </c>
      <c r="DB120" s="72">
        <f>(DB110*4)+(DB109*2)</f>
        <v>240971.00977302232</v>
      </c>
      <c r="DC120" s="89">
        <v>30</v>
      </c>
      <c r="DD120" s="86">
        <f t="shared" si="1183"/>
        <v>2126751</v>
      </c>
      <c r="DE120" s="87">
        <f t="shared" si="1184"/>
        <v>1119.3364491708724</v>
      </c>
      <c r="DF120" s="88">
        <f t="shared" si="1185"/>
        <v>1.3276187061635842</v>
      </c>
      <c r="DG120" s="86" t="e">
        <f t="shared" si="1186"/>
        <v>#DIV/0!</v>
      </c>
      <c r="DH120" s="72">
        <f>(DH110*4)+(DH109*2)</f>
        <v>247674.95584837859</v>
      </c>
      <c r="DI120" s="89">
        <v>70</v>
      </c>
      <c r="DJ120" s="86">
        <f t="shared" si="1187"/>
        <v>4962399</v>
      </c>
      <c r="DK120" s="87">
        <f t="shared" si="1188"/>
        <v>2611.782764960346</v>
      </c>
      <c r="DL120" s="88">
        <f t="shared" si="1189"/>
        <v>1.3959439881453013</v>
      </c>
      <c r="DM120" s="86" t="e">
        <f t="shared" si="1190"/>
        <v>#DIV/0!</v>
      </c>
      <c r="DN120" s="72">
        <f>(DN110*4)+(DN109*2)</f>
        <v>260421.43276948994</v>
      </c>
      <c r="DO120" s="90">
        <v>3.9</v>
      </c>
      <c r="DP120" s="7"/>
      <c r="DQ120" s="86">
        <f t="shared" si="1191"/>
        <v>890109.9071999999</v>
      </c>
      <c r="DR120" s="86">
        <v>15</v>
      </c>
      <c r="DS120" s="86">
        <f t="shared" si="1192"/>
        <v>1063383</v>
      </c>
      <c r="DT120" s="87">
        <f t="shared" si="1193"/>
        <v>559.66908074981973</v>
      </c>
      <c r="DU120" s="88">
        <f t="shared" si="1194"/>
        <v>0.12916323145329359</v>
      </c>
      <c r="DV120" s="86">
        <f t="shared" si="1195"/>
        <v>621.85453416646635</v>
      </c>
      <c r="DW120" s="72">
        <f>(DW110*4)+(DW109*2)</f>
        <v>45554.9078288643</v>
      </c>
      <c r="DX120" s="89">
        <v>30</v>
      </c>
      <c r="DY120" s="86">
        <f t="shared" si="1196"/>
        <v>2126751</v>
      </c>
      <c r="DZ120" s="87">
        <f t="shared" si="1197"/>
        <v>1119.3364491708724</v>
      </c>
      <c r="EA120" s="88">
        <f t="shared" si="1198"/>
        <v>0.13934644357567938</v>
      </c>
      <c r="EB120" s="86">
        <f t="shared" si="1199"/>
        <v>1243.7071657454137</v>
      </c>
      <c r="EC120" s="72">
        <f>(EC110*4)+(EC109*2)</f>
        <v>49146.450750309465</v>
      </c>
      <c r="ED120" s="89">
        <v>70</v>
      </c>
      <c r="EE120" s="86">
        <f t="shared" si="1200"/>
        <v>4962399</v>
      </c>
      <c r="EF120" s="87">
        <f t="shared" si="1201"/>
        <v>2611.782764960346</v>
      </c>
      <c r="EG120" s="88">
        <f t="shared" si="1202"/>
        <v>0.14999856767840822</v>
      </c>
      <c r="EH120" s="86">
        <f t="shared" si="1203"/>
        <v>2901.9808499559399</v>
      </c>
      <c r="EI120" s="72">
        <f>(EI110*4)+(EI109*2)</f>
        <v>52903.375427878462</v>
      </c>
      <c r="EJ120" s="90">
        <v>3.9</v>
      </c>
    </row>
    <row r="121" spans="1:140">
      <c r="A121" s="70" t="str">
        <f t="shared" si="0"/>
        <v>BhSa</v>
      </c>
      <c r="B121" s="71">
        <v>622</v>
      </c>
      <c r="C121" s="70" t="s">
        <v>91</v>
      </c>
      <c r="D121" s="70" t="s">
        <v>82</v>
      </c>
      <c r="E121" s="70" t="s">
        <v>85</v>
      </c>
      <c r="F121" s="3"/>
      <c r="G121" s="72">
        <v>60000</v>
      </c>
      <c r="H121" s="72">
        <f t="shared" ref="H121:L121" si="1255">(H111*4)+(H109*2)</f>
        <v>48422</v>
      </c>
      <c r="I121" s="72">
        <f t="shared" si="1255"/>
        <v>5384</v>
      </c>
      <c r="J121" s="72">
        <f t="shared" si="1255"/>
        <v>3554</v>
      </c>
      <c r="K121" s="72">
        <f t="shared" si="1255"/>
        <v>2640</v>
      </c>
      <c r="L121" s="72">
        <f t="shared" si="1255"/>
        <v>15390</v>
      </c>
      <c r="M121" s="184"/>
      <c r="N121" s="91">
        <f t="shared" si="1137"/>
        <v>0.25650000000000001</v>
      </c>
      <c r="O121" s="124">
        <f t="shared" si="1138"/>
        <v>28412.307692307691</v>
      </c>
      <c r="P121" s="124">
        <f t="shared" si="1139"/>
        <v>22729.846153846156</v>
      </c>
      <c r="Q121" s="124">
        <f t="shared" si="1140"/>
        <v>11364.923076923078</v>
      </c>
      <c r="R121" s="124">
        <f t="shared" si="1141"/>
        <v>9091.9384615384624</v>
      </c>
      <c r="S121" s="72">
        <f t="shared" si="4"/>
        <v>34094.769230769234</v>
      </c>
      <c r="T121" s="3"/>
      <c r="U121" s="77">
        <f t="shared" si="1142"/>
        <v>15390</v>
      </c>
      <c r="V121" s="78">
        <f t="shared" si="1143"/>
        <v>0.25650000000000001</v>
      </c>
      <c r="W121" s="111">
        <f t="shared" si="1144"/>
        <v>1.5389999999999999</v>
      </c>
      <c r="X121" s="3"/>
      <c r="Y121" s="79">
        <v>6</v>
      </c>
      <c r="Z121" s="77">
        <f t="shared" si="1145"/>
        <v>92340</v>
      </c>
      <c r="AA121" s="77">
        <f t="shared" si="1146"/>
        <v>73872</v>
      </c>
      <c r="AB121" s="77">
        <f t="shared" si="1147"/>
        <v>103704.92307692308</v>
      </c>
      <c r="AC121" s="72">
        <f>(AC111*4)+(AC109*2)</f>
        <v>88149.184615384613</v>
      </c>
      <c r="AD121" s="77">
        <f t="shared" si="1148"/>
        <v>73872</v>
      </c>
      <c r="AE121" s="77">
        <f t="shared" si="1149"/>
        <v>2367.6923076923076</v>
      </c>
      <c r="AF121" s="77">
        <f t="shared" si="1150"/>
        <v>71504.307692307688</v>
      </c>
      <c r="AG121" s="3"/>
      <c r="AH121" s="77">
        <f t="shared" si="1070"/>
        <v>15390</v>
      </c>
      <c r="AI121" s="72">
        <f t="shared" ref="AI121:AJ121" si="1256">AI109*2+AI111*4</f>
        <v>15390</v>
      </c>
      <c r="AJ121" s="77">
        <f t="shared" si="1256"/>
        <v>45504</v>
      </c>
      <c r="AK121" s="77">
        <f t="shared" si="1249"/>
        <v>76284</v>
      </c>
      <c r="AL121" s="77">
        <f>AL109*2+AL111*4</f>
        <v>277020</v>
      </c>
      <c r="AM121" s="80">
        <f t="shared" si="1152"/>
        <v>0.27537361923326836</v>
      </c>
      <c r="AN121" s="32"/>
      <c r="AO121" s="72">
        <f t="shared" ref="AO121:AP121" si="1257">AO109*2+AO111*4</f>
        <v>760</v>
      </c>
      <c r="AP121" s="116">
        <f t="shared" si="1257"/>
        <v>105</v>
      </c>
      <c r="AQ121" s="82">
        <f t="shared" si="1154"/>
        <v>865</v>
      </c>
      <c r="AR121" s="3"/>
      <c r="AS121" s="72">
        <f>(AS111*4)+(AS109*2)</f>
        <v>10</v>
      </c>
      <c r="AT121" s="3"/>
      <c r="AU121" s="77">
        <v>41</v>
      </c>
      <c r="AV121" s="77">
        <v>78</v>
      </c>
      <c r="AW121" s="77">
        <v>121</v>
      </c>
      <c r="AX121" s="83">
        <f>AX109*2+AX111*4</f>
        <v>1801.7560975609758</v>
      </c>
      <c r="AY121" s="83">
        <f t="shared" si="1155"/>
        <v>947.07692307692309</v>
      </c>
      <c r="AZ121" s="83">
        <f t="shared" si="1156"/>
        <v>8.5416666666666661</v>
      </c>
      <c r="BA121" s="83">
        <f t="shared" si="1157"/>
        <v>16.25</v>
      </c>
      <c r="BB121" s="3"/>
      <c r="BC121" s="77" t="s">
        <v>89</v>
      </c>
      <c r="BD121" s="77">
        <f t="shared" si="1158"/>
        <v>15390</v>
      </c>
      <c r="BE121" s="72">
        <f t="shared" ref="BE121:BF121" si="1258">(BE111*4)+(BE109*2)</f>
        <v>78289.24615384615</v>
      </c>
      <c r="BF121" s="72" t="e" vm="2">
        <f t="shared" si="1258"/>
        <v>#VALUE!</v>
      </c>
      <c r="BG121" s="77" t="e" vm="2">
        <f t="shared" si="1160"/>
        <v>#VALUE!</v>
      </c>
      <c r="BH121" s="77">
        <f t="shared" si="1161"/>
        <v>11364.923076923078</v>
      </c>
      <c r="BI121" s="72" t="e" vm="2">
        <f t="shared" ref="BI121:BJ121" si="1259">(BI111*4)+(BI109*2)</f>
        <v>#VALUE!</v>
      </c>
      <c r="BJ121" s="72">
        <f t="shared" si="1259"/>
        <v>967.07692307692321</v>
      </c>
      <c r="BK121" s="85">
        <v>0.18</v>
      </c>
      <c r="BL121" s="72">
        <f t="shared" ref="BL121:BR121" si="1260">(BL111*4)+(BL109*2)</f>
        <v>13296.960000000001</v>
      </c>
      <c r="BM121" s="72">
        <f t="shared" si="1260"/>
        <v>21782.769230769234</v>
      </c>
      <c r="BN121" s="72">
        <f t="shared" si="1260"/>
        <v>82395.692307692312</v>
      </c>
      <c r="BO121" s="72">
        <f t="shared" si="1260"/>
        <v>4735.3846153846152</v>
      </c>
      <c r="BP121" s="72">
        <f t="shared" si="1260"/>
        <v>78289.24615384615</v>
      </c>
      <c r="BQ121" s="72">
        <f t="shared" si="1260"/>
        <v>384</v>
      </c>
      <c r="BR121" s="72" t="e" vm="2">
        <f t="shared" si="1260"/>
        <v>#VALUE!</v>
      </c>
      <c r="BS121" s="26"/>
      <c r="BT121" s="72">
        <f t="shared" ref="BT121:BW121" si="1261">(BT111*4)+(BT109*2)</f>
        <v>41368.320000000007</v>
      </c>
      <c r="BU121" s="72">
        <f t="shared" si="1261"/>
        <v>421809.12</v>
      </c>
      <c r="BV121" s="72">
        <f t="shared" si="1261"/>
        <v>53983.384615384624</v>
      </c>
      <c r="BW121" s="72">
        <f t="shared" si="1261"/>
        <v>26518.153846153851</v>
      </c>
      <c r="BX121" s="72"/>
      <c r="BY121" s="72">
        <f>(BY111*4)+(BY109*2)</f>
        <v>64</v>
      </c>
      <c r="BZ121" s="3"/>
      <c r="CA121" s="86">
        <f t="shared" si="1165"/>
        <v>927536.83200000005</v>
      </c>
      <c r="CB121" s="89">
        <v>15</v>
      </c>
      <c r="CC121" s="86">
        <f t="shared" si="1166"/>
        <v>1108095</v>
      </c>
      <c r="CD121" s="87">
        <f t="shared" si="1167"/>
        <v>583.20171232876714</v>
      </c>
      <c r="CE121" s="88">
        <f t="shared" si="1168"/>
        <v>0.19506543867493537</v>
      </c>
      <c r="CF121" s="86" t="e">
        <f t="shared" si="1169"/>
        <v>#DIV/0!</v>
      </c>
      <c r="CG121" s="72">
        <f>(CG111*4)+(CG109*2)</f>
        <v>37920.721278407436</v>
      </c>
      <c r="CH121" s="89">
        <v>30</v>
      </c>
      <c r="CI121" s="86">
        <f t="shared" si="1170"/>
        <v>2216175</v>
      </c>
      <c r="CJ121" s="87">
        <f t="shared" si="1171"/>
        <v>1166.4017123287672</v>
      </c>
      <c r="CK121" s="88">
        <f t="shared" si="1172"/>
        <v>0.21873064997663716</v>
      </c>
      <c r="CL121" s="86" t="e">
        <f t="shared" si="1173"/>
        <v>#DIV/0!</v>
      </c>
      <c r="CM121" s="72">
        <f>(CM111*4)+(CM109*2)</f>
        <v>42521.238355458263</v>
      </c>
      <c r="CN121" s="89">
        <v>70</v>
      </c>
      <c r="CO121" s="86">
        <f t="shared" si="1174"/>
        <v>5171055</v>
      </c>
      <c r="CP121" s="87">
        <f t="shared" si="1175"/>
        <v>2721.601712328767</v>
      </c>
      <c r="CQ121" s="88">
        <f t="shared" si="1176"/>
        <v>0.25490133088282324</v>
      </c>
      <c r="CR121" s="86" t="e">
        <f t="shared" si="1177"/>
        <v>#DIV/0!</v>
      </c>
      <c r="CS121" s="72">
        <f>(CS111*4)+(CS109*2)</f>
        <v>49552.818723620832</v>
      </c>
      <c r="CT121" s="90">
        <v>3.05</v>
      </c>
      <c r="CU121" s="3"/>
      <c r="CV121" s="86">
        <f t="shared" si="1178"/>
        <v>927536.83200000005</v>
      </c>
      <c r="CW121" s="86">
        <v>15</v>
      </c>
      <c r="CX121" s="86">
        <f t="shared" si="1179"/>
        <v>1108095</v>
      </c>
      <c r="CY121" s="87">
        <f t="shared" si="1180"/>
        <v>583.20171232876714</v>
      </c>
      <c r="CZ121" s="88">
        <f t="shared" si="1181"/>
        <v>1.2897737932989868</v>
      </c>
      <c r="DA121" s="86" t="e">
        <f t="shared" si="1182"/>
        <v>#DIV/0!</v>
      </c>
      <c r="DB121" s="72">
        <f>(DB111*4)+(DB109*2)</f>
        <v>250732.02541732302</v>
      </c>
      <c r="DC121" s="89">
        <v>30</v>
      </c>
      <c r="DD121" s="86">
        <f t="shared" si="1183"/>
        <v>2216175</v>
      </c>
      <c r="DE121" s="87">
        <f t="shared" si="1184"/>
        <v>1166.4017123287672</v>
      </c>
      <c r="DF121" s="88">
        <f t="shared" si="1185"/>
        <v>1.3249609356890519</v>
      </c>
      <c r="DG121" s="86" t="e">
        <f t="shared" si="1186"/>
        <v>#DIV/0!</v>
      </c>
      <c r="DH121" s="72">
        <f>(DH111*4)+(DH109*2)</f>
        <v>257572.40589795168</v>
      </c>
      <c r="DI121" s="89">
        <v>70</v>
      </c>
      <c r="DJ121" s="86">
        <f t="shared" si="1187"/>
        <v>5171055</v>
      </c>
      <c r="DK121" s="87">
        <f t="shared" si="1188"/>
        <v>2721.601712328767</v>
      </c>
      <c r="DL121" s="88">
        <f t="shared" si="1189"/>
        <v>1.3918048655799797</v>
      </c>
      <c r="DM121" s="86" t="e">
        <f t="shared" si="1190"/>
        <v>#DIV/0!</v>
      </c>
      <c r="DN121" s="72">
        <f>(DN111*4)+(DN109*2)</f>
        <v>270566.86586874805</v>
      </c>
      <c r="DO121" s="90">
        <v>3.9</v>
      </c>
      <c r="DP121" s="7"/>
      <c r="DQ121" s="86">
        <f t="shared" si="1191"/>
        <v>927536.83200000005</v>
      </c>
      <c r="DR121" s="86">
        <v>15</v>
      </c>
      <c r="DS121" s="86">
        <f t="shared" si="1192"/>
        <v>1108095</v>
      </c>
      <c r="DT121" s="87">
        <f t="shared" si="1193"/>
        <v>583.20171232876714</v>
      </c>
      <c r="DU121" s="88">
        <f t="shared" si="1194"/>
        <v>0.12802003951371299</v>
      </c>
      <c r="DV121" s="86">
        <f t="shared" si="1195"/>
        <v>648.001902587519</v>
      </c>
      <c r="DW121" s="72">
        <f>(DW111*4)+(DW109*2)</f>
        <v>47050.230641577138</v>
      </c>
      <c r="DX121" s="89">
        <v>30</v>
      </c>
      <c r="DY121" s="86">
        <f t="shared" si="1196"/>
        <v>2216175</v>
      </c>
      <c r="DZ121" s="87">
        <f t="shared" si="1197"/>
        <v>1166.4017123287672</v>
      </c>
      <c r="EA121" s="88">
        <f t="shared" si="1198"/>
        <v>0.1379877522049148</v>
      </c>
      <c r="EB121" s="86">
        <f t="shared" si="1199"/>
        <v>1296.001902587519</v>
      </c>
      <c r="EC121" s="72">
        <f>(EC111*4)+(EC109*2)</f>
        <v>50713.588213340627</v>
      </c>
      <c r="ED121" s="89">
        <v>70</v>
      </c>
      <c r="EE121" s="86">
        <f t="shared" si="1200"/>
        <v>5171055</v>
      </c>
      <c r="EF121" s="87">
        <f t="shared" si="1201"/>
        <v>2721.601712328767</v>
      </c>
      <c r="EG121" s="88">
        <f t="shared" si="1202"/>
        <v>0.14841953901179478</v>
      </c>
      <c r="EH121" s="86">
        <f t="shared" si="1203"/>
        <v>3024.001902587519</v>
      </c>
      <c r="EI121" s="72">
        <f>(EI111*4)+(EI109*2)</f>
        <v>54547.503412334845</v>
      </c>
      <c r="EJ121" s="90">
        <v>3.9</v>
      </c>
    </row>
  </sheetData>
  <mergeCells count="36">
    <mergeCell ref="M103:M105"/>
    <mergeCell ref="M106:M108"/>
    <mergeCell ref="M109:M111"/>
    <mergeCell ref="M113:M115"/>
    <mergeCell ref="M116:M118"/>
    <mergeCell ref="M119:M121"/>
    <mergeCell ref="M83:M85"/>
    <mergeCell ref="M86:M88"/>
    <mergeCell ref="M89:M91"/>
    <mergeCell ref="M93:M95"/>
    <mergeCell ref="M96:M98"/>
    <mergeCell ref="M99:M101"/>
    <mergeCell ref="M63:M65"/>
    <mergeCell ref="M66:M68"/>
    <mergeCell ref="M69:M71"/>
    <mergeCell ref="M73:M75"/>
    <mergeCell ref="M76:M78"/>
    <mergeCell ref="M79:M81"/>
    <mergeCell ref="O43:P45"/>
    <mergeCell ref="O46:P48"/>
    <mergeCell ref="O49:P51"/>
    <mergeCell ref="O53:P55"/>
    <mergeCell ref="O56:P58"/>
    <mergeCell ref="O59:P61"/>
    <mergeCell ref="O23:P25"/>
    <mergeCell ref="O26:P28"/>
    <mergeCell ref="O29:P31"/>
    <mergeCell ref="O33:P35"/>
    <mergeCell ref="O36:P38"/>
    <mergeCell ref="O39:P41"/>
    <mergeCell ref="O3:P5"/>
    <mergeCell ref="O6:P8"/>
    <mergeCell ref="O9:P11"/>
    <mergeCell ref="O13:P15"/>
    <mergeCell ref="O16:P18"/>
    <mergeCell ref="O19:P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2026-05-31T04:52:18Z</dcterms:created>
  <dcterms:modified xsi:type="dcterms:W3CDTF">2026-05-31T04:52:55Z</dcterms:modified>
  <cp:category/>
  <cp:contentStatus/>
</cp:coreProperties>
</file>